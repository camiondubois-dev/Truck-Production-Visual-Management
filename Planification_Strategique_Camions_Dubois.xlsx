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xes_Strategiques" sheetId="2" state="visible" r:id="rId2"/>
    <sheet xmlns:r="http://schemas.openxmlformats.org/officeDocument/2006/relationships" name="Initiatives" sheetId="3" state="visible" r:id="rId3"/>
    <sheet xmlns:r="http://schemas.openxmlformats.org/officeDocument/2006/relationships" name="Projets_90_Jours" sheetId="4" state="visible" r:id="rId4"/>
    <sheet xmlns:r="http://schemas.openxmlformats.org/officeDocument/2006/relationships" name="Dashboard" sheetId="5" state="visible" r:id="rId5"/>
    <sheet xmlns:r="http://schemas.openxmlformats.org/officeDocument/2006/relationships" name="Listes" sheetId="6" state="visible" r:id="rId6"/>
  </sheets>
  <definedNames>
    <definedName name="_xlnm._FilterDatabase" localSheetId="1" hidden="1">'Axes_Strategiques'!$A$4:$I$24</definedName>
    <definedName name="_xlnm._FilterDatabase" localSheetId="2" hidden="1">'Initiatives'!$A$4:$N$54</definedName>
    <definedName name="_xlnm._FilterDatabase" localSheetId="3" hidden="1">'Projets_90_Jours'!$A$4:$AB$104</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 $"/>
  </numFmts>
  <fonts count="25">
    <font>
      <name val="Calibri"/>
      <family val="2"/>
      <color theme="1"/>
      <sz val="11"/>
      <scheme val="minor"/>
    </font>
    <font>
      <name val="Arial"/>
      <b val="1"/>
      <color rgb="000050A0"/>
      <sz val="22"/>
    </font>
    <font>
      <name val="Arial"/>
      <i val="1"/>
      <color rgb="006B7280"/>
      <sz val="12"/>
    </font>
    <font>
      <name val="Arial"/>
      <b val="1"/>
      <color rgb="00FFFFFF"/>
      <sz val="11"/>
    </font>
    <font>
      <name val="Arial"/>
      <b val="1"/>
      <color rgb="00000000"/>
      <sz val="10"/>
    </font>
    <font>
      <name val="Arial"/>
      <color rgb="00000000"/>
      <sz val="10"/>
    </font>
    <font>
      <name val="Arial"/>
      <i val="1"/>
      <color rgb="006B7280"/>
      <sz val="9"/>
    </font>
    <font>
      <name val="Arial"/>
      <b val="1"/>
      <color rgb="000050A0"/>
      <sz val="16"/>
    </font>
    <font>
      <name val="Arial"/>
      <b val="1"/>
      <color rgb="00FFFFFF"/>
      <sz val="10"/>
    </font>
    <font>
      <name val="Arial"/>
      <color rgb="00000000"/>
      <sz val="9"/>
    </font>
    <font>
      <name val="Arial"/>
      <b val="1"/>
      <color rgb="00FFFFFF"/>
      <sz val="20"/>
    </font>
    <font>
      <name val="Arial"/>
      <color rgb="006B7280"/>
      <sz val="9"/>
    </font>
    <font>
      <name val="Arial"/>
      <b val="1"/>
      <color rgb="000050A0"/>
      <sz val="20"/>
    </font>
    <font>
      <name val="Arial"/>
      <b val="1"/>
      <color rgb="0027AE60"/>
      <sz val="20"/>
    </font>
    <font>
      <name val="Arial"/>
      <b val="1"/>
      <color rgb="00E87722"/>
      <sz val="20"/>
    </font>
    <font>
      <name val="Arial"/>
      <b val="1"/>
      <color rgb="00C0392B"/>
      <sz val="20"/>
    </font>
    <font>
      <name val="Arial"/>
      <b val="1"/>
      <color rgb="000050A0"/>
      <sz val="11"/>
    </font>
    <font>
      <name val="Arial"/>
      <b val="1"/>
      <color rgb="00C0392B"/>
      <sz val="11"/>
    </font>
    <font>
      <name val="Arial"/>
      <b val="1"/>
      <color rgb="00E87722"/>
      <sz val="11"/>
    </font>
    <font>
      <name val="Arial"/>
      <b val="1"/>
      <color rgb="006B7280"/>
      <sz val="11"/>
    </font>
    <font>
      <name val="Arial"/>
      <b val="1"/>
      <color rgb="0027AE60"/>
      <sz val="11"/>
    </font>
    <font>
      <name val="Arial"/>
      <color rgb="000050A0"/>
      <sz val="11"/>
    </font>
    <font>
      <name val="Arial"/>
      <b val="1"/>
      <color rgb="00C0392B"/>
      <sz val="14"/>
    </font>
    <font>
      <name val="Arial"/>
      <b val="1"/>
      <color rgb="00FFFFFF"/>
      <sz val="9"/>
    </font>
    <font>
      <name val="Arial"/>
      <b val="1"/>
      <color rgb="00C0392B"/>
      <sz val="9"/>
    </font>
  </fonts>
  <fills count="11">
    <fill>
      <patternFill/>
    </fill>
    <fill>
      <patternFill patternType="gray125"/>
    </fill>
    <fill>
      <patternFill patternType="solid">
        <fgColor rgb="000050A0"/>
      </patternFill>
    </fill>
    <fill>
      <patternFill patternType="solid">
        <fgColor rgb="00F3F4F6"/>
      </patternFill>
    </fill>
    <fill>
      <patternFill patternType="solid">
        <fgColor rgb="003378C0"/>
      </patternFill>
    </fill>
    <fill>
      <patternFill patternType="solid">
        <fgColor rgb="00FFFFFF"/>
      </patternFill>
    </fill>
    <fill>
      <patternFill patternType="solid">
        <fgColor rgb="00D6E6F7"/>
      </patternFill>
    </fill>
    <fill>
      <patternFill patternType="solid">
        <fgColor rgb="00D5F5E3"/>
      </patternFill>
    </fill>
    <fill>
      <patternFill patternType="solid">
        <fgColor rgb="00FDEBD0"/>
      </patternFill>
    </fill>
    <fill>
      <patternFill patternType="solid">
        <fgColor rgb="00FADBD8"/>
      </patternFill>
    </fill>
    <fill>
      <patternFill patternType="solid">
        <fgColor rgb="00EEEEEE"/>
      </patternFill>
    </fill>
  </fills>
  <borders count="7">
    <border>
      <left/>
      <right/>
      <top/>
      <bottom/>
      <diagonal/>
    </border>
    <border>
      <bottom style="thick">
        <color rgb="000050A0"/>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
      <left/>
      <right/>
      <top style="thin">
        <color rgb="00D1D5DB"/>
      </top>
      <bottom style="thin">
        <color rgb="00D1D5DB"/>
      </bottom>
      <diagonal/>
    </border>
  </borders>
  <cellStyleXfs count="1">
    <xf numFmtId="0" fontId="0" fillId="0" borderId="0"/>
  </cellStyleXfs>
  <cellXfs count="5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0" fillId="0" borderId="1" pivotButton="0" quotePrefix="0" xfId="0"/>
    <xf numFmtId="0" fontId="3" fillId="2" borderId="0" applyAlignment="1" pivotButton="0" quotePrefix="0" xfId="0">
      <alignment horizontal="left" vertical="center" indent="1"/>
    </xf>
    <xf numFmtId="0" fontId="0" fillId="2"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indent="1"/>
    </xf>
    <xf numFmtId="0" fontId="6" fillId="0" borderId="0"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2" borderId="2" applyAlignment="1" pivotButton="0" quotePrefix="0" xfId="0">
      <alignment horizontal="center" vertical="center" wrapText="1"/>
    </xf>
    <xf numFmtId="0" fontId="9" fillId="0" borderId="2" applyAlignment="1" pivotButton="0" quotePrefix="0" xfId="0">
      <alignment horizontal="left" vertical="center" wrapText="1"/>
    </xf>
    <xf numFmtId="0" fontId="9" fillId="3" borderId="2" applyAlignment="1" pivotButton="0" quotePrefix="0" xfId="0">
      <alignment horizontal="left" vertical="center" wrapText="1"/>
    </xf>
    <xf numFmtId="0" fontId="9" fillId="0" borderId="2" pivotButton="0" quotePrefix="0" xfId="0"/>
    <xf numFmtId="0" fontId="9" fillId="3" borderId="2" pivotButton="0" quotePrefix="0" xfId="0"/>
    <xf numFmtId="0" fontId="9" fillId="0" borderId="2" applyAlignment="1" pivotButton="0" quotePrefix="0" xfId="0">
      <alignment horizontal="center" vertical="center" wrapText="1"/>
    </xf>
    <xf numFmtId="0" fontId="9" fillId="3" borderId="2" applyAlignment="1" pivotButton="0" quotePrefix="0" xfId="0">
      <alignment horizontal="center" vertical="center" wrapText="1"/>
    </xf>
    <xf numFmtId="165" fontId="9" fillId="0" borderId="2" applyAlignment="1" pivotButton="0" quotePrefix="0" xfId="0">
      <alignment horizontal="center" vertical="center" wrapText="1"/>
    </xf>
    <xf numFmtId="1" fontId="9" fillId="0" borderId="2" applyAlignment="1" pivotButton="0" quotePrefix="0" xfId="0">
      <alignment horizontal="center" vertical="center" wrapText="1"/>
    </xf>
    <xf numFmtId="166" fontId="9" fillId="0" borderId="2" applyAlignment="1" pivotButton="0" quotePrefix="0" xfId="0">
      <alignment horizontal="right" vertical="center"/>
    </xf>
    <xf numFmtId="9" fontId="9" fillId="0" borderId="2" applyAlignment="1" pivotButton="0" quotePrefix="0" xfId="0">
      <alignment horizontal="center" vertical="center" wrapText="1"/>
    </xf>
    <xf numFmtId="165" fontId="9" fillId="3" borderId="2" applyAlignment="1" pivotButton="0" quotePrefix="0" xfId="0">
      <alignment horizontal="center" vertical="center" wrapText="1"/>
    </xf>
    <xf numFmtId="1" fontId="9" fillId="3" borderId="2" applyAlignment="1" pivotButton="0" quotePrefix="0" xfId="0">
      <alignment horizontal="center" vertical="center" wrapText="1"/>
    </xf>
    <xf numFmtId="166" fontId="9" fillId="3" borderId="2" applyAlignment="1" pivotButton="0" quotePrefix="0" xfId="0">
      <alignment horizontal="right" vertical="center"/>
    </xf>
    <xf numFmtId="9" fontId="9" fillId="3" borderId="2" applyAlignment="1" pivotButton="0" quotePrefix="0" xfId="0">
      <alignment horizontal="center" vertical="center" wrapText="1"/>
    </xf>
    <xf numFmtId="0" fontId="10" fillId="2" borderId="0" applyAlignment="1" pivotButton="0" quotePrefix="0" xfId="0">
      <alignment horizontal="left" vertical="center" indent="2"/>
    </xf>
    <xf numFmtId="0" fontId="0" fillId="4" borderId="0" pivotButton="0" quotePrefix="0" xfId="0"/>
    <xf numFmtId="0" fontId="6" fillId="0" borderId="0" applyAlignment="1" pivotButton="0" quotePrefix="0" xfId="0">
      <alignment horizontal="left" vertical="center" indent="2"/>
    </xf>
    <xf numFmtId="0" fontId="11" fillId="3" borderId="2" applyAlignment="1" pivotButton="0" quotePrefix="0" xfId="0">
      <alignment horizontal="center" vertical="bottom"/>
    </xf>
    <xf numFmtId="0" fontId="0" fillId="0" borderId="5" pivotButton="0" quotePrefix="0" xfId="0"/>
    <xf numFmtId="0" fontId="23" fillId="4" borderId="2" applyAlignment="1" pivotButton="0" quotePrefix="0" xfId="0">
      <alignment horizontal="center" vertical="center" wrapText="1"/>
    </xf>
    <xf numFmtId="0" fontId="0" fillId="0" borderId="6" pivotButton="0" quotePrefix="0" xfId="0"/>
    <xf numFmtId="0" fontId="12" fillId="5" borderId="2" applyAlignment="1" pivotButton="0" quotePrefix="0" xfId="0">
      <alignment horizontal="center" vertical="center"/>
    </xf>
    <xf numFmtId="0" fontId="11" fillId="6" borderId="2" applyAlignment="1" pivotButton="0" quotePrefix="0" xfId="0">
      <alignment horizontal="center" vertical="bottom"/>
    </xf>
    <xf numFmtId="0" fontId="11" fillId="7" borderId="2" applyAlignment="1" pivotButton="0" quotePrefix="0" xfId="0">
      <alignment horizontal="center" vertical="bottom"/>
    </xf>
    <xf numFmtId="0" fontId="11" fillId="8" borderId="2" applyAlignment="1" pivotButton="0" quotePrefix="0" xfId="0">
      <alignment horizontal="center" vertical="bottom"/>
    </xf>
    <xf numFmtId="0" fontId="13" fillId="5" borderId="2" applyAlignment="1" pivotButton="0" quotePrefix="0" xfId="0">
      <alignment horizontal="center" vertical="center"/>
    </xf>
    <xf numFmtId="0" fontId="14" fillId="5" borderId="2" applyAlignment="1" pivotButton="0" quotePrefix="0" xfId="0">
      <alignment horizontal="center" vertical="center"/>
    </xf>
    <xf numFmtId="0" fontId="11" fillId="9" borderId="2" applyAlignment="1" pivotButton="0" quotePrefix="0" xfId="0">
      <alignment horizontal="center" vertical="bottom"/>
    </xf>
    <xf numFmtId="0" fontId="15" fillId="5" borderId="2" applyAlignment="1" pivotButton="0" quotePrefix="0" xfId="0">
      <alignment horizontal="center" vertical="center"/>
    </xf>
    <xf numFmtId="0" fontId="5" fillId="3" borderId="2" applyAlignment="1" pivotButton="0" quotePrefix="0" xfId="0">
      <alignment horizontal="left" vertical="center" wrapText="1"/>
    </xf>
    <xf numFmtId="0" fontId="16" fillId="5" borderId="2" applyAlignment="1" pivotButton="0" quotePrefix="0" xfId="0">
      <alignment horizontal="center" vertical="center" wrapText="1"/>
    </xf>
    <xf numFmtId="0" fontId="16" fillId="3"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6" borderId="2" applyAlignment="1" pivotButton="0" quotePrefix="0" xfId="0">
      <alignment horizontal="left" vertical="center" wrapText="1"/>
    </xf>
    <xf numFmtId="0" fontId="5" fillId="9" borderId="2" applyAlignment="1" pivotButton="0" quotePrefix="0" xfId="0">
      <alignment horizontal="left" vertical="center" wrapText="1"/>
    </xf>
    <xf numFmtId="0" fontId="17" fillId="5" borderId="2" applyAlignment="1" pivotButton="0" quotePrefix="0" xfId="0">
      <alignment horizontal="center" vertical="center" wrapText="1"/>
    </xf>
    <xf numFmtId="0" fontId="5" fillId="8" borderId="2" applyAlignment="1" pivotButton="0" quotePrefix="0" xfId="0">
      <alignment horizontal="left" vertical="center" wrapText="1"/>
    </xf>
    <xf numFmtId="0" fontId="18"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5" fillId="10" borderId="2" applyAlignment="1" pivotButton="0" quotePrefix="0" xfId="0">
      <alignment horizontal="left" vertical="center" wrapText="1"/>
    </xf>
    <xf numFmtId="0" fontId="5" fillId="7" borderId="2" applyAlignment="1" pivotButton="0" quotePrefix="0" xfId="0">
      <alignment horizontal="left" vertical="center" wrapText="1"/>
    </xf>
    <xf numFmtId="0" fontId="20" fillId="5" borderId="2" applyAlignment="1" pivotButton="0" quotePrefix="0" xfId="0">
      <alignment horizontal="center" vertical="center" wrapText="1"/>
    </xf>
    <xf numFmtId="0" fontId="21" fillId="5" borderId="2" applyAlignment="1" pivotButton="0" quotePrefix="0" xfId="0">
      <alignment horizontal="center" vertical="center" wrapText="1"/>
    </xf>
    <xf numFmtId="0" fontId="22" fillId="9" borderId="2" applyAlignment="1" pivotButton="0" quotePrefix="0" xfId="0">
      <alignment horizontal="center" vertical="center" wrapText="1"/>
    </xf>
    <xf numFmtId="0" fontId="5" fillId="0" borderId="2" applyAlignment="1" pivotButton="0" quotePrefix="0" xfId="0">
      <alignment horizontal="center" vertical="center" wrapText="1"/>
    </xf>
    <xf numFmtId="0" fontId="24" fillId="0" borderId="0" applyAlignment="1" pivotButton="0" quotePrefix="0" xfId="0">
      <alignment horizontal="left" vertical="center" wrapText="1"/>
    </xf>
  </cellXfs>
  <cellStyles count="1">
    <cellStyle name="Normal" xfId="0" builtinId="0" hidden="0"/>
  </cellStyles>
  <dxfs count="10">
    <dxf>
      <font>
        <name val="Arial"/>
        <b val="1"/>
        <color rgb="00C0392B"/>
      </font>
      <fill>
        <patternFill patternType="solid">
          <fgColor rgb="00FADBD8"/>
        </patternFill>
      </fill>
    </dxf>
    <dxf>
      <font>
        <name val="Arial"/>
        <b val="1"/>
        <color rgb="00E87722"/>
      </font>
      <fill>
        <patternFill patternType="solid">
          <fgColor rgb="00FDEBD0"/>
        </patternFill>
      </fill>
    </dxf>
    <dxf>
      <font>
        <name val="Arial"/>
        <b val="1"/>
        <color rgb="006B7280"/>
      </font>
      <fill>
        <patternFill patternType="solid">
          <fgColor rgb="00F3F4F6"/>
        </patternFill>
      </fill>
    </dxf>
    <dxf>
      <font>
        <name val="Arial"/>
        <b val="1"/>
        <color rgb="0027AE60"/>
      </font>
      <fill>
        <patternFill patternType="solid">
          <fgColor rgb="00D5F5E3"/>
        </patternFill>
      </fill>
    </dxf>
    <dxf>
      <font>
        <name val="Arial"/>
        <b val="1"/>
        <color rgb="000050A0"/>
      </font>
      <fill>
        <patternFill patternType="solid">
          <fgColor rgb="00D6E6F7"/>
        </patternFill>
      </fill>
    </dxf>
    <dxf>
      <font>
        <name val="Arial"/>
        <b val="1"/>
        <color rgb="009E9E9E"/>
      </font>
      <fill>
        <patternFill patternType="solid">
          <fgColor rgb="00EEEEEE"/>
        </patternFill>
      </fill>
    </dxf>
    <dxf>
      <font>
        <name val="Arial"/>
        <b val="1"/>
        <color rgb="003378C0"/>
      </font>
      <fill>
        <patternFill patternType="solid">
          <fgColor rgb="00F3F4F6"/>
        </patternFill>
      </fill>
    </dxf>
    <dxf>
      <font>
        <name val="Arial"/>
        <b val="1"/>
        <color rgb="00FFFFFF"/>
      </font>
      <fill>
        <patternFill patternType="solid">
          <fgColor rgb="00C0392B"/>
        </patternFill>
      </fill>
    </dxf>
    <dxf>
      <font>
        <name val="Arial"/>
        <b val="1"/>
        <color rgb="00C0392B"/>
      </font>
      <fill>
        <patternFill patternType="solid">
          <fgColor rgb="00FDEBD0"/>
        </patternFill>
      </fill>
    </dxf>
    <dxf>
      <font>
        <name val="Arial"/>
        <color rgb="0027AE6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Projets par statut</a:t>
            </a:r>
          </a:p>
        </rich>
      </tx>
    </title>
    <plotArea>
      <barChart>
        <barDir val="bar"/>
        <grouping val="clustered"/>
        <ser>
          <idx val="0"/>
          <order val="0"/>
          <tx>
            <strRef>
              <f>'Dashboard'!Q2</f>
            </strRef>
          </tx>
          <spPr>
            <a:solidFill xmlns:a="http://schemas.openxmlformats.org/drawingml/2006/main">
              <a:srgbClr val="0050A0"/>
            </a:solidFill>
            <a:ln xmlns:a="http://schemas.openxmlformats.org/drawingml/2006/main">
              <a:prstDash val="solid"/>
            </a:ln>
          </spPr>
          <cat>
            <numRef>
              <f>'Dashboard'!$P$3:$P$7</f>
            </numRef>
          </cat>
          <val>
            <numRef>
              <f>'Dashboard'!$Q$3:$Q$7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Nb projets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30</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C60"/>
  <sheetViews>
    <sheetView showGridLines="0" workbookViewId="0">
      <selection activeCell="A1" sqref="A1"/>
    </sheetView>
  </sheetViews>
  <sheetFormatPr baseColWidth="8" defaultRowHeight="15"/>
  <cols>
    <col width="3" customWidth="1" min="1" max="1"/>
    <col width="30" customWidth="1" min="2" max="2"/>
    <col width="70" customWidth="1" min="3" max="3"/>
    <col width="3" customWidth="1" min="4" max="4"/>
  </cols>
  <sheetData>
    <row r="1" ht="15" customHeight="1"/>
    <row r="2" ht="50" customHeight="1">
      <c r="B2" s="1" t="inlineStr">
        <is>
          <t>PLANIFICATION STRATÉGIQUE — CAMIONS DUBOIS</t>
        </is>
      </c>
    </row>
    <row r="3" ht="20" customHeight="1">
      <c r="B3" s="2" t="inlineStr">
        <is>
          <t>Guide d'utilisation du classeur de gestion stratégique</t>
        </is>
      </c>
    </row>
    <row r="4" ht="6" customHeight="1">
      <c r="B4" s="3" t="n"/>
      <c r="C4" s="3" t="n"/>
    </row>
    <row r="5" ht="10" customHeight="1"/>
    <row r="6" ht="22" customHeight="1">
      <c r="B6" s="4" t="inlineStr">
        <is>
          <t xml:space="preserve">  1.  OBJECTIF DU FICHIER</t>
        </is>
      </c>
      <c r="C6" s="5" t="n"/>
    </row>
    <row r="7" ht="6" customHeight="1"/>
    <row r="8" ht="20" customHeight="1">
      <c r="B8" s="6" t="inlineStr">
        <is>
          <t>But :</t>
        </is>
      </c>
      <c r="C8" s="7" t="inlineStr">
        <is>
          <t>Ce fichier est l'outil central de pilotage stratégique de Camions Dubois. Il permet de définir les axes stratégiques, de les transformer en initiatives concrètes, puis de les découper en projets exécutables de 90 jours ou moins.</t>
        </is>
      </c>
    </row>
    <row r="9" ht="20" customHeight="1">
      <c r="B9" s="6" t="inlineStr">
        <is>
          <t>Utilisateurs cibles :</t>
        </is>
      </c>
      <c r="C9" s="7" t="inlineStr">
        <is>
          <t>Président, Direction générale, Équipe de gestion</t>
        </is>
      </c>
    </row>
    <row r="10" ht="20" customHeight="1">
      <c r="B10" s="6" t="inlineStr">
        <is>
          <t>Fréquence de mise à jour :</t>
        </is>
      </c>
      <c r="C10" s="7" t="inlineStr">
        <is>
          <t>Hebdomadaire pour les projets / Trimestrielle pour les initiatives / Annuelle pour les axes</t>
        </is>
      </c>
    </row>
    <row r="11" ht="10" customHeight="1"/>
    <row r="12" ht="22" customHeight="1">
      <c r="B12" s="4" t="inlineStr">
        <is>
          <t xml:space="preserve">  2.  LOGIQUE DE STRUCTURE  :  AXE → INITIATIVE → PROJET</t>
        </is>
      </c>
      <c r="C12" s="5" t="n"/>
    </row>
    <row r="13" ht="6" customHeight="1"/>
    <row r="14" ht="20" customHeight="1">
      <c r="B14" s="6" t="inlineStr">
        <is>
          <t>AXE STRATÉGIQUE</t>
        </is>
      </c>
      <c r="C14" s="7" t="inlineStr">
        <is>
          <t>Grand domaine d'orientation de l'entreprise (ex : Exportation, Opérations, RH)</t>
        </is>
      </c>
    </row>
    <row r="15" ht="20" customHeight="1">
      <c r="B15" s="6" t="inlineStr">
        <is>
          <t>INITIATIVE</t>
        </is>
      </c>
      <c r="C15" s="7" t="inlineStr">
        <is>
          <t>Grand projet structurant rattaché à un axe (horizon 2-10 ans)</t>
        </is>
      </c>
    </row>
    <row r="16" ht="20" customHeight="1">
      <c r="B16" s="6" t="inlineStr">
        <is>
          <t>PROJET 90 JOURS</t>
        </is>
      </c>
      <c r="C16" s="7" t="inlineStr">
        <is>
          <t>Tâche concrète et livrable, exécutable en 90 jours ou moins</t>
        </is>
      </c>
    </row>
    <row r="17" ht="18" customHeight="1">
      <c r="C17" s="8" t="inlineStr">
        <is>
          <t>Chaque projet doit produire un livrable tangible à l'intérieur d'une fenêtre de 90 jours.</t>
        </is>
      </c>
    </row>
    <row r="18" ht="10" customHeight="1"/>
    <row r="19" ht="22" customHeight="1">
      <c r="B19" s="4" t="inlineStr">
        <is>
          <t xml:space="preserve">  3.  RESPONSABLE vs IMPUTABLE  (modèle RACI simplifié)</t>
        </is>
      </c>
      <c r="C19" s="5" t="n"/>
    </row>
    <row r="20" ht="6" customHeight="1"/>
    <row r="21" ht="20" customHeight="1">
      <c r="B21" s="6" t="inlineStr">
        <is>
          <t>RESPONSABLE (R)</t>
        </is>
      </c>
      <c r="C21" s="7" t="inlineStr">
        <is>
          <t>La personne qui FAIT le travail au quotidien. Elle exécute, coordonne, avance le projet.</t>
        </is>
      </c>
    </row>
    <row r="22" ht="20" customHeight="1">
      <c r="B22" s="6" t="inlineStr">
        <is>
          <t>IMPUTABLE (A)</t>
        </is>
      </c>
      <c r="C22" s="7" t="inlineStr">
        <is>
          <t>La personne qui RÉPOND des résultats. Elle n'exécute pas nécessairement, mais doit rendre compte. Il ne peut y avoir qu'UN seul imputable par projet.</t>
        </is>
      </c>
    </row>
    <row r="23" ht="18" customHeight="1">
      <c r="C23" s="8" t="inlineStr">
        <is>
          <t>Exemple : Responsable = Joël Cartier (mène le projet), Imputable = Jason Dubois (rend compte au président).</t>
        </is>
      </c>
    </row>
    <row r="24" ht="10" customHeight="1"/>
    <row r="25" ht="22" customHeight="1">
      <c r="B25" s="4" t="inlineStr">
        <is>
          <t xml:space="preserve">  4.  DESCRIPTION DES FEUILLES</t>
        </is>
      </c>
      <c r="C25" s="5" t="n"/>
    </row>
    <row r="26" ht="6" customHeight="1"/>
    <row r="27" ht="20" customHeight="1">
      <c r="B27" s="6" t="inlineStr">
        <is>
          <t>→  Instructions</t>
        </is>
      </c>
      <c r="C27" s="7" t="inlineStr">
        <is>
          <t>Cette feuille. Guide de démarrage et référence d'utilisation.</t>
        </is>
      </c>
    </row>
    <row r="28" ht="20" customHeight="1">
      <c r="B28" s="6" t="inlineStr">
        <is>
          <t>→  Axes_Strategiques</t>
        </is>
      </c>
      <c r="C28" s="7" t="inlineStr">
        <is>
          <t>Saisir les grands axes stratégiques de l'entreprise. Point de départ de la hiérarchie.</t>
        </is>
      </c>
    </row>
    <row r="29" ht="20" customHeight="1">
      <c r="B29" s="6" t="inlineStr">
        <is>
          <t>→  Initiatives</t>
        </is>
      </c>
      <c r="C29" s="7" t="inlineStr">
        <is>
          <t>Définir les initiatives rattachées à chaque axe. Relier via l'ID_Axe.</t>
        </is>
      </c>
    </row>
    <row r="30" ht="20" customHeight="1">
      <c r="B30" s="6" t="inlineStr">
        <is>
          <t>→  Projets_90_Jours</t>
        </is>
      </c>
      <c r="C30" s="7" t="inlineStr">
        <is>
          <t>Piloter tous les projets en exécution. Feuille de travail principale de l'équipe.</t>
        </is>
      </c>
    </row>
    <row r="31" ht="20" customHeight="1">
      <c r="B31" s="6" t="inlineStr">
        <is>
          <t>→  Dashboard</t>
        </is>
      </c>
      <c r="C31" s="7" t="inlineStr">
        <is>
          <t>Vue globale automatique. Ne rien saisir ici — tout est calculé automatiquement.</t>
        </is>
      </c>
    </row>
    <row r="32" ht="20" customHeight="1">
      <c r="B32" s="6" t="inlineStr">
        <is>
          <t>→  Listes</t>
        </is>
      </c>
      <c r="C32" s="7" t="inlineStr">
        <is>
          <t>Listes de référence pour les menus déroulants. Ne pas modifier la structure.</t>
        </is>
      </c>
    </row>
    <row r="33" ht="10" customHeight="1"/>
    <row r="34" ht="22" customHeight="1">
      <c r="B34" s="4" t="inlineStr">
        <is>
          <t xml:space="preserve">  5.  COMMENT UTILISER LE FICHIER</t>
        </is>
      </c>
      <c r="C34" s="5" t="n"/>
    </row>
    <row r="35" ht="6" customHeight="1"/>
    <row r="36" ht="20" customHeight="1">
      <c r="B36" s="6" t="inlineStr">
        <is>
          <t xml:space="preserve">  Étape 1</t>
        </is>
      </c>
      <c r="C36" s="7" t="inlineStr">
        <is>
          <t>Ouvrir la feuille Axes_Strategiques et saisir les axes de l'entreprise avec leur horizon et priorité.</t>
        </is>
      </c>
    </row>
    <row r="37" ht="20" customHeight="1">
      <c r="B37" s="6" t="inlineStr">
        <is>
          <t xml:space="preserve">  Étape 2</t>
        </is>
      </c>
      <c r="C37" s="7" t="inlineStr">
        <is>
          <t>Ouvrir la feuille Initiatives et créer les initiatives. Indiquer l'ID_Axe correspondant.</t>
        </is>
      </c>
    </row>
    <row r="38" ht="20" customHeight="1">
      <c r="B38" s="6" t="inlineStr">
        <is>
          <t xml:space="preserve">  Étape 3</t>
        </is>
      </c>
      <c r="C38" s="7" t="inlineStr">
        <is>
          <t>Ouvrir la feuille Projets_90_Jours et créer les projets. Indiquer l'ID_Initiative, les dates, le responsable et l'imputable.</t>
        </is>
      </c>
    </row>
    <row r="39" ht="20" customHeight="1">
      <c r="B39" s="6" t="inlineStr">
        <is>
          <t xml:space="preserve">  Étape 4</t>
        </is>
      </c>
      <c r="C39" s="7" t="inlineStr">
        <is>
          <t>Mettre à jour le statut et l'avancement (%) de chaque projet en cours de semaine.</t>
        </is>
      </c>
    </row>
    <row r="40" ht="20" customHeight="1">
      <c r="B40" s="6" t="inlineStr">
        <is>
          <t xml:space="preserve">  Étape 5</t>
        </is>
      </c>
      <c r="C40" s="7" t="inlineStr">
        <is>
          <t>Consulter le Dashboard pour une vue globale de l'état stratégique.</t>
        </is>
      </c>
    </row>
    <row r="41" ht="10" customHeight="1"/>
    <row r="42" ht="22" customHeight="1">
      <c r="B42" s="4" t="inlineStr">
        <is>
          <t xml:space="preserve">  6.  LISTES DÉROULANTES</t>
        </is>
      </c>
      <c r="C42" s="5" t="n"/>
    </row>
    <row r="43" ht="6" customHeight="1"/>
    <row r="44" ht="18" customHeight="1">
      <c r="C44" s="9" t="inlineStr">
        <is>
          <t>Les colonnes avec listes déroulantes sont identifiées par un menu à la sélection. Cliquer sur la cellule pour voir les options disponibles.</t>
        </is>
      </c>
    </row>
    <row r="45" ht="20" customHeight="1">
      <c r="B45" s="7" t="inlineStr">
        <is>
          <t xml:space="preserve">  • Horizon</t>
        </is>
      </c>
      <c r="C45" s="7" t="inlineStr">
        <is>
          <t>0-2 ans  /  3-5 ans  /  5-10 ans</t>
        </is>
      </c>
    </row>
    <row r="46" ht="20" customHeight="1">
      <c r="B46" s="7" t="inlineStr">
        <is>
          <t xml:space="preserve">  • Priorité</t>
        </is>
      </c>
      <c r="C46" s="7" t="inlineStr">
        <is>
          <t>Haute  /  Moyenne  /  Basse</t>
        </is>
      </c>
    </row>
    <row r="47" ht="20" customHeight="1">
      <c r="B47" s="7" t="inlineStr">
        <is>
          <t xml:space="preserve">  • Statut Initiative</t>
        </is>
      </c>
      <c r="C47" s="7" t="inlineStr">
        <is>
          <t>Non démarrée  /  En planification  /  En cours  /  En pause  /  Terminée</t>
        </is>
      </c>
    </row>
    <row r="48" ht="20" customHeight="1">
      <c r="B48" s="7" t="inlineStr">
        <is>
          <t xml:space="preserve">  • Statut Projet</t>
        </is>
      </c>
      <c r="C48" s="7" t="inlineStr">
        <is>
          <t>Non démarré  /  En cours  /  À risque  /  Bloqué  /  Terminé</t>
        </is>
      </c>
    </row>
    <row r="49" ht="20" customHeight="1">
      <c r="B49" s="7" t="inlineStr">
        <is>
          <t xml:space="preserve">  • Trimestre</t>
        </is>
      </c>
      <c r="C49" s="7" t="inlineStr">
        <is>
          <t>T1  /  T2  /  T3  /  T4</t>
        </is>
      </c>
    </row>
    <row r="50" ht="20" customHeight="1">
      <c r="B50" s="7" t="inlineStr">
        <is>
          <t xml:space="preserve">  • Responsable</t>
        </is>
      </c>
      <c r="C50" s="7" t="inlineStr">
        <is>
          <t>Noms définis dans la feuille Listes — section Personnes</t>
        </is>
      </c>
    </row>
    <row r="51" ht="10" customHeight="1"/>
    <row r="52" ht="22" customHeight="1">
      <c r="B52" s="4" t="inlineStr">
        <is>
          <t xml:space="preserve">  7.  COMMENT LIRE LE DASHBOARD</t>
        </is>
      </c>
      <c r="C52" s="5" t="n"/>
    </row>
    <row r="53" ht="6" customHeight="1"/>
    <row r="54" ht="20" customHeight="1">
      <c r="B54" s="6" t="inlineStr">
        <is>
          <t>Indicateurs globaux</t>
        </is>
      </c>
      <c r="C54" s="7" t="inlineStr">
        <is>
          <t>Nombre d'axes, initiatives, projets, statuts — calculés automatiquement.</t>
        </is>
      </c>
    </row>
    <row r="55" ht="20" customHeight="1">
      <c r="B55" s="6" t="inlineStr">
        <is>
          <t>Répartition par horizon</t>
        </is>
      </c>
      <c r="C55" s="7" t="inlineStr">
        <is>
          <t>Distribution des projets sur les 3 horizons temporels.</t>
        </is>
      </c>
    </row>
    <row r="56" ht="20" customHeight="1">
      <c r="B56" s="6" t="inlineStr">
        <is>
          <t>Répartition par statut</t>
        </is>
      </c>
      <c r="C56" s="7" t="inlineStr">
        <is>
          <t>Vue rapide des projets actifs, à risque, bloqués ou terminés.</t>
        </is>
      </c>
    </row>
    <row r="57" ht="20" customHeight="1">
      <c r="B57" s="6" t="inlineStr">
        <is>
          <t>Projets &gt; 90 jours</t>
        </is>
      </c>
      <c r="C57" s="7" t="inlineStr">
        <is>
          <t>Alertes automatiques pour les projets dont la durée dépasse 90 jours.</t>
        </is>
      </c>
    </row>
    <row r="58" ht="20" customHeight="1">
      <c r="B58" s="6" t="inlineStr">
        <is>
          <t>Prochaines échéances</t>
        </is>
      </c>
      <c r="C58" s="7" t="inlineStr">
        <is>
          <t>Les 10 projets dont la date de fin est la plus proche.</t>
        </is>
      </c>
    </row>
    <row r="59" ht="10" customHeight="1"/>
    <row r="60">
      <c r="B60" s="10" t="inlineStr">
        <is>
          <t>© Camions Dubois — Document confidentiel — Usage interne uniquement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I24"/>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45" customWidth="1" min="3" max="3"/>
    <col width="16" customWidth="1" min="4" max="4"/>
    <col width="50" customWidth="1" min="5" max="5"/>
    <col width="12" customWidth="1" min="6" max="6"/>
    <col width="20" customWidth="1" min="7" max="7"/>
    <col width="20" customWidth="1" min="8" max="8"/>
    <col width="35" customWidth="1" min="9" max="9"/>
  </cols>
  <sheetData>
    <row r="1" ht="14" customHeight="1"/>
    <row r="2" ht="36" customHeight="1">
      <c r="A2" s="11" t="inlineStr">
        <is>
          <t>AXES STRATÉGIQUES — CAMIONS DUBOIS</t>
        </is>
      </c>
    </row>
    <row r="3" ht="10" customHeight="1"/>
    <row r="4" ht="28" customHeight="1">
      <c r="A4" s="12" t="inlineStr">
        <is>
          <t>ID_Axe</t>
        </is>
      </c>
      <c r="B4" s="12" t="inlineStr">
        <is>
          <t>Axe_Strategique</t>
        </is>
      </c>
      <c r="C4" s="12" t="inlineStr">
        <is>
          <t>Description</t>
        </is>
      </c>
      <c r="D4" s="12" t="inlineStr">
        <is>
          <t>Horizon_Principal</t>
        </is>
      </c>
      <c r="E4" s="12" t="inlineStr">
        <is>
          <t>Objectif_Global</t>
        </is>
      </c>
      <c r="F4" s="12" t="inlineStr">
        <is>
          <t>Priorite</t>
        </is>
      </c>
      <c r="G4" s="12" t="inlineStr">
        <is>
          <t>Proprietaire_Axe</t>
        </is>
      </c>
      <c r="H4" s="12" t="inlineStr">
        <is>
          <t>Imputable_Axe</t>
        </is>
      </c>
      <c r="I4" s="12" t="inlineStr">
        <is>
          <t>Commentaires</t>
        </is>
      </c>
    </row>
    <row r="5" ht="22" customHeight="1">
      <c r="A5" s="13" t="inlineStr">
        <is>
          <t>AX-01</t>
        </is>
      </c>
      <c r="B5" s="13" t="inlineStr">
        <is>
          <t>Exportation</t>
        </is>
      </c>
      <c r="C5" s="13" t="inlineStr">
        <is>
          <t>Développer les marchés d'exportation de véhicules et pièces</t>
        </is>
      </c>
      <c r="D5" s="13" t="inlineStr">
        <is>
          <t>3-5 ans</t>
        </is>
      </c>
      <c r="E5" s="13" t="inlineStr">
        <is>
          <t>Accroître les revenus hors-Canada de 20% en 5 ans</t>
        </is>
      </c>
      <c r="F5" s="13" t="inlineStr">
        <is>
          <t>Haute</t>
        </is>
      </c>
      <c r="G5" s="13" t="inlineStr">
        <is>
          <t>Jason Dubois</t>
        </is>
      </c>
      <c r="H5" s="13" t="inlineStr">
        <is>
          <t>Régis Dubois</t>
        </is>
      </c>
      <c r="I5" s="13" t="inlineStr"/>
    </row>
    <row r="6" ht="22" customHeight="1">
      <c r="A6" s="14" t="inlineStr">
        <is>
          <t>AX-02</t>
        </is>
      </c>
      <c r="B6" s="14" t="inlineStr">
        <is>
          <t>Opérations</t>
        </is>
      </c>
      <c r="C6" s="14" t="inlineStr">
        <is>
          <t>Optimiser les processus de production et de l'atelier</t>
        </is>
      </c>
      <c r="D6" s="14" t="inlineStr">
        <is>
          <t>0-2 ans</t>
        </is>
      </c>
      <c r="E6" s="14" t="inlineStr">
        <is>
          <t>Réduire les délais de production de 15% et améliorer la qualité</t>
        </is>
      </c>
      <c r="F6" s="14" t="inlineStr">
        <is>
          <t>Haute</t>
        </is>
      </c>
      <c r="G6" s="14" t="inlineStr">
        <is>
          <t>Joël Cartier</t>
        </is>
      </c>
      <c r="H6" s="14" t="inlineStr">
        <is>
          <t>Michael Dubois</t>
        </is>
      </c>
      <c r="I6" s="14" t="inlineStr"/>
    </row>
    <row r="7" ht="22" customHeight="1">
      <c r="A7" s="13" t="inlineStr">
        <is>
          <t>AX-03</t>
        </is>
      </c>
      <c r="B7" s="13" t="inlineStr">
        <is>
          <t>Ressources Humaines</t>
        </is>
      </c>
      <c r="C7" s="13" t="inlineStr">
        <is>
          <t>Stabiliser et développer la main-d'œuvre spécialisée</t>
        </is>
      </c>
      <c r="D7" s="13" t="inlineStr">
        <is>
          <t>0-2 ans</t>
        </is>
      </c>
      <c r="E7" s="13" t="inlineStr">
        <is>
          <t>Réduire le roulement à moins de 10% et combler les postes clés</t>
        </is>
      </c>
      <c r="F7" s="13" t="inlineStr">
        <is>
          <t>Haute</t>
        </is>
      </c>
      <c r="G7" s="13" t="inlineStr">
        <is>
          <t>Régis Dubois</t>
        </is>
      </c>
      <c r="H7" s="13" t="inlineStr">
        <is>
          <t>Jason Dubois</t>
        </is>
      </c>
      <c r="I7" s="13" t="inlineStr"/>
    </row>
    <row r="8" ht="22" customHeight="1">
      <c r="A8" s="14" t="inlineStr">
        <is>
          <t>AX-04</t>
        </is>
      </c>
      <c r="B8" s="14" t="inlineStr">
        <is>
          <t>Technologie &amp; Systèmes</t>
        </is>
      </c>
      <c r="C8" s="14" t="inlineStr">
        <is>
          <t>Moderniser les outils de gestion et de suivi</t>
        </is>
      </c>
      <c r="D8" s="14" t="inlineStr">
        <is>
          <t>0-2 ans</t>
        </is>
      </c>
      <c r="E8" s="14" t="inlineStr">
        <is>
          <t>Déployer un système de gestion visuelle complet d'ici 18 mois</t>
        </is>
      </c>
      <c r="F8" s="14" t="inlineStr">
        <is>
          <t>Moyenne</t>
        </is>
      </c>
      <c r="G8" s="14" t="inlineStr">
        <is>
          <t>Michael Dubois</t>
        </is>
      </c>
      <c r="H8" s="14" t="inlineStr">
        <is>
          <t>Jason Dubois</t>
        </is>
      </c>
      <c r="I8" s="14" t="inlineStr"/>
    </row>
    <row r="9" ht="22" customHeight="1">
      <c r="A9" s="13" t="inlineStr">
        <is>
          <t>AX-05</t>
        </is>
      </c>
      <c r="B9" s="13" t="inlineStr">
        <is>
          <t>Finance</t>
        </is>
      </c>
      <c r="C9" s="13" t="inlineStr">
        <is>
          <t>Renforcer la solidité financière et la prévisibilité</t>
        </is>
      </c>
      <c r="D9" s="13" t="inlineStr">
        <is>
          <t>3-5 ans</t>
        </is>
      </c>
      <c r="E9" s="13" t="inlineStr">
        <is>
          <t>Améliorer la marge nette de 3 points en 5 ans</t>
        </is>
      </c>
      <c r="F9" s="13" t="inlineStr">
        <is>
          <t>Moyenne</t>
        </is>
      </c>
      <c r="G9" s="13" t="inlineStr">
        <is>
          <t>Régis Dubois</t>
        </is>
      </c>
      <c r="H9" s="13" t="inlineStr">
        <is>
          <t>Jason Dubois</t>
        </is>
      </c>
      <c r="I9" s="13" t="inlineStr"/>
    </row>
    <row r="10" ht="22" customHeight="1">
      <c r="A10" s="14" t="inlineStr">
        <is>
          <t>AX-06</t>
        </is>
      </c>
      <c r="B10" s="14" t="inlineStr">
        <is>
          <t>Vente &amp; Développement</t>
        </is>
      </c>
      <c r="C10" s="14" t="inlineStr">
        <is>
          <t>Croître les revenus et diversifier la clientèle</t>
        </is>
      </c>
      <c r="D10" s="14" t="inlineStr">
        <is>
          <t>3-5 ans</t>
        </is>
      </c>
      <c r="E10" s="14" t="inlineStr">
        <is>
          <t>Augmenter le carnet de commandes de 25% en 3 ans</t>
        </is>
      </c>
      <c r="F10" s="14" t="inlineStr">
        <is>
          <t>Haute</t>
        </is>
      </c>
      <c r="G10" s="14" t="inlineStr">
        <is>
          <t>Jason Dubois</t>
        </is>
      </c>
      <c r="H10" s="14" t="inlineStr">
        <is>
          <t>Régis Dubois</t>
        </is>
      </c>
      <c r="I10" s="14" t="inlineStr"/>
    </row>
    <row r="11" ht="22" customHeight="1">
      <c r="A11" s="15" t="n"/>
      <c r="B11" s="15" t="n"/>
      <c r="C11" s="15" t="n"/>
      <c r="D11" s="15" t="n"/>
      <c r="E11" s="15" t="n"/>
      <c r="F11" s="15" t="n"/>
      <c r="G11" s="15" t="n"/>
      <c r="H11" s="15" t="n"/>
      <c r="I11" s="15" t="n"/>
    </row>
    <row r="12" ht="22" customHeight="1">
      <c r="A12" s="16" t="n"/>
      <c r="B12" s="16" t="n"/>
      <c r="C12" s="16" t="n"/>
      <c r="D12" s="16" t="n"/>
      <c r="E12" s="16" t="n"/>
      <c r="F12" s="16" t="n"/>
      <c r="G12" s="16" t="n"/>
      <c r="H12" s="16" t="n"/>
      <c r="I12" s="16" t="n"/>
    </row>
    <row r="13" ht="22" customHeight="1">
      <c r="A13" s="15" t="n"/>
      <c r="B13" s="15" t="n"/>
      <c r="C13" s="15" t="n"/>
      <c r="D13" s="15" t="n"/>
      <c r="E13" s="15" t="n"/>
      <c r="F13" s="15" t="n"/>
      <c r="G13" s="15" t="n"/>
      <c r="H13" s="15" t="n"/>
      <c r="I13" s="15" t="n"/>
    </row>
    <row r="14" ht="22" customHeight="1">
      <c r="A14" s="16" t="n"/>
      <c r="B14" s="16" t="n"/>
      <c r="C14" s="16" t="n"/>
      <c r="D14" s="16" t="n"/>
      <c r="E14" s="16" t="n"/>
      <c r="F14" s="16" t="n"/>
      <c r="G14" s="16" t="n"/>
      <c r="H14" s="16" t="n"/>
      <c r="I14" s="16" t="n"/>
    </row>
    <row r="15" ht="22" customHeight="1">
      <c r="A15" s="15" t="n"/>
      <c r="B15" s="15" t="n"/>
      <c r="C15" s="15" t="n"/>
      <c r="D15" s="15" t="n"/>
      <c r="E15" s="15" t="n"/>
      <c r="F15" s="15" t="n"/>
      <c r="G15" s="15" t="n"/>
      <c r="H15" s="15" t="n"/>
      <c r="I15" s="15" t="n"/>
    </row>
    <row r="16" ht="22" customHeight="1">
      <c r="A16" s="16" t="n"/>
      <c r="B16" s="16" t="n"/>
      <c r="C16" s="16" t="n"/>
      <c r="D16" s="16" t="n"/>
      <c r="E16" s="16" t="n"/>
      <c r="F16" s="16" t="n"/>
      <c r="G16" s="16" t="n"/>
      <c r="H16" s="16" t="n"/>
      <c r="I16" s="16" t="n"/>
    </row>
    <row r="17" ht="22" customHeight="1">
      <c r="A17" s="15" t="n"/>
      <c r="B17" s="15" t="n"/>
      <c r="C17" s="15" t="n"/>
      <c r="D17" s="15" t="n"/>
      <c r="E17" s="15" t="n"/>
      <c r="F17" s="15" t="n"/>
      <c r="G17" s="15" t="n"/>
      <c r="H17" s="15" t="n"/>
      <c r="I17" s="15" t="n"/>
    </row>
    <row r="18" ht="22" customHeight="1">
      <c r="A18" s="16" t="n"/>
      <c r="B18" s="16" t="n"/>
      <c r="C18" s="16" t="n"/>
      <c r="D18" s="16" t="n"/>
      <c r="E18" s="16" t="n"/>
      <c r="F18" s="16" t="n"/>
      <c r="G18" s="16" t="n"/>
      <c r="H18" s="16" t="n"/>
      <c r="I18" s="16" t="n"/>
    </row>
    <row r="19" ht="22" customHeight="1">
      <c r="A19" s="15" t="n"/>
      <c r="B19" s="15" t="n"/>
      <c r="C19" s="15" t="n"/>
      <c r="D19" s="15" t="n"/>
      <c r="E19" s="15" t="n"/>
      <c r="F19" s="15" t="n"/>
      <c r="G19" s="15" t="n"/>
      <c r="H19" s="15" t="n"/>
      <c r="I19" s="15" t="n"/>
    </row>
    <row r="20" ht="22" customHeight="1">
      <c r="A20" s="16" t="n"/>
      <c r="B20" s="16" t="n"/>
      <c r="C20" s="16" t="n"/>
      <c r="D20" s="16" t="n"/>
      <c r="E20" s="16" t="n"/>
      <c r="F20" s="16" t="n"/>
      <c r="G20" s="16" t="n"/>
      <c r="H20" s="16" t="n"/>
      <c r="I20" s="16" t="n"/>
    </row>
    <row r="21" ht="22" customHeight="1">
      <c r="A21" s="15" t="n"/>
      <c r="B21" s="15" t="n"/>
      <c r="C21" s="15" t="n"/>
      <c r="D21" s="15" t="n"/>
      <c r="E21" s="15" t="n"/>
      <c r="F21" s="15" t="n"/>
      <c r="G21" s="15" t="n"/>
      <c r="H21" s="15" t="n"/>
      <c r="I21" s="15" t="n"/>
    </row>
    <row r="22" ht="22" customHeight="1">
      <c r="A22" s="16" t="n"/>
      <c r="B22" s="16" t="n"/>
      <c r="C22" s="16" t="n"/>
      <c r="D22" s="16" t="n"/>
      <c r="E22" s="16" t="n"/>
      <c r="F22" s="16" t="n"/>
      <c r="G22" s="16" t="n"/>
      <c r="H22" s="16" t="n"/>
      <c r="I22" s="16" t="n"/>
    </row>
    <row r="23" ht="22" customHeight="1">
      <c r="A23" s="15" t="n"/>
      <c r="B23" s="15" t="n"/>
      <c r="C23" s="15" t="n"/>
      <c r="D23" s="15" t="n"/>
      <c r="E23" s="15" t="n"/>
      <c r="F23" s="15" t="n"/>
      <c r="G23" s="15" t="n"/>
      <c r="H23" s="15" t="n"/>
      <c r="I23" s="15" t="n"/>
    </row>
    <row r="24" ht="22" customHeight="1">
      <c r="A24" s="16" t="n"/>
      <c r="B24" s="16" t="n"/>
      <c r="C24" s="16" t="n"/>
      <c r="D24" s="16" t="n"/>
      <c r="E24" s="16" t="n"/>
      <c r="F24" s="16" t="n"/>
      <c r="G24" s="16" t="n"/>
      <c r="H24" s="16" t="n"/>
      <c r="I24" s="16" t="n"/>
    </row>
  </sheetData>
  <autoFilter ref="A4:I24"/>
  <conditionalFormatting sqref="F5:F24">
    <cfRule type="cellIs" priority="1" operator="equal" dxfId="0">
      <formula>"Haute"</formula>
    </cfRule>
    <cfRule type="cellIs" priority="2" operator="equal" dxfId="1">
      <formula>"Moyenne"</formula>
    </cfRule>
    <cfRule type="cellIs" priority="3" operator="equal" dxfId="2">
      <formula>"Basse"</formula>
    </cfRule>
  </conditionalFormatting>
  <dataValidations count="3">
    <dataValidation sqref="D5:D24" showDropDown="0" showInputMessage="1" showErrorMessage="1" allowBlank="1" errorTitle="Valeur invalide" error="Choisir une valeur dans la liste." promptTitle="Horizon" prompt="Choisir l'horizon temporel" type="list">
      <formula1>Listes!$B$2:$B$4</formula1>
    </dataValidation>
    <dataValidation sqref="F5:F24" showDropDown="0" showInputMessage="1" showErrorMessage="1" allowBlank="1" errorTitle="Valeur invalide" error="Choisir une valeur dans la liste." promptTitle="Priorité" prompt="Choisir la priorité" type="list">
      <formula1>Listes!$C$2:$C$4</formula1>
    </dataValidation>
    <dataValidation sqref="G5:H24" showDropDown="0" showInputMessage="1" showErrorMessage="1" allowBlank="1" errorTitle="Valeur invalide" error="Choisir une valeur dans la liste." promptTitle="Personne" prompt="Choisir la personne" type="list">
      <formula1>Listes!$E$2:$E$10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N5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2" customWidth="1" min="3" max="3"/>
    <col width="30" customWidth="1" min="4" max="4"/>
    <col width="50" customWidth="1" min="5" max="5"/>
    <col width="12" customWidth="1" min="6" max="6"/>
    <col width="12" customWidth="1" min="7" max="7"/>
    <col width="45" customWidth="1" min="8" max="8"/>
    <col width="35" customWidth="1" min="9" max="9"/>
    <col width="20" customWidth="1" min="10" max="10"/>
    <col width="20" customWidth="1" min="11" max="11"/>
    <col width="18" customWidth="1" min="12" max="12"/>
    <col width="12" customWidth="1" min="13" max="13"/>
    <col width="35" customWidth="1" min="14" max="14"/>
  </cols>
  <sheetData>
    <row r="1" ht="14" customHeight="1"/>
    <row r="2" ht="36" customHeight="1">
      <c r="A2" s="11" t="inlineStr">
        <is>
          <t>INITIATIVES STRATÉGIQUES — CAMIONS DUBOIS</t>
        </is>
      </c>
    </row>
    <row r="3" ht="10" customHeight="1"/>
    <row r="4" ht="28" customHeight="1">
      <c r="A4" s="12" t="inlineStr">
        <is>
          <t>ID_Initiative</t>
        </is>
      </c>
      <c r="B4" s="12" t="inlineStr">
        <is>
          <t>ID_Axe</t>
        </is>
      </c>
      <c r="C4" s="12" t="inlineStr">
        <is>
          <t>Axe_Strategique</t>
        </is>
      </c>
      <c r="D4" s="12" t="inlineStr">
        <is>
          <t>Nom_Initiative</t>
        </is>
      </c>
      <c r="E4" s="12" t="inlineStr">
        <is>
          <t>Description_Initiative</t>
        </is>
      </c>
      <c r="F4" s="12" t="inlineStr">
        <is>
          <t>Horizon</t>
        </is>
      </c>
      <c r="G4" s="12" t="inlineStr">
        <is>
          <t>Annee_Cible</t>
        </is>
      </c>
      <c r="H4" s="12" t="inlineStr">
        <is>
          <t>Resultat_Attendu</t>
        </is>
      </c>
      <c r="I4" s="12" t="inlineStr">
        <is>
          <t>KPI_Principal</t>
        </is>
      </c>
      <c r="J4" s="12" t="inlineStr">
        <is>
          <t>Responsable_Initiative</t>
        </is>
      </c>
      <c r="K4" s="12" t="inlineStr">
        <is>
          <t>Imputable_Initiative</t>
        </is>
      </c>
      <c r="L4" s="12" t="inlineStr">
        <is>
          <t>Statut_Initiative</t>
        </is>
      </c>
      <c r="M4" s="12" t="inlineStr">
        <is>
          <t>Priorite</t>
        </is>
      </c>
      <c r="N4" s="12" t="inlineStr">
        <is>
          <t>Commentaires</t>
        </is>
      </c>
    </row>
    <row r="5" ht="22" customHeight="1">
      <c r="A5" s="13" t="inlineStr">
        <is>
          <t>IN-01</t>
        </is>
      </c>
      <c r="B5" s="13" t="inlineStr">
        <is>
          <t>AX-01</t>
        </is>
      </c>
      <c r="C5" s="13" t="inlineStr">
        <is>
          <t>Exportation</t>
        </is>
      </c>
      <c r="D5" s="13" t="inlineStr">
        <is>
          <t>Exportation camions usagés — Mexique</t>
        </is>
      </c>
      <c r="E5" s="13" t="inlineStr">
        <is>
          <t>Développer le marché mexicain pour la vente de camions d'occasion certifiés</t>
        </is>
      </c>
      <c r="F5" s="17" t="inlineStr">
        <is>
          <t>3-5 ans</t>
        </is>
      </c>
      <c r="G5" s="13" t="n">
        <v>2027</v>
      </c>
      <c r="H5" s="13" t="inlineStr">
        <is>
          <t>Vendre 25 unités/an au Mexique</t>
        </is>
      </c>
      <c r="I5" s="13" t="inlineStr">
        <is>
          <t>Nb unités vendues Mexique/an</t>
        </is>
      </c>
      <c r="J5" s="13" t="inlineStr">
        <is>
          <t>Jason Dubois</t>
        </is>
      </c>
      <c r="K5" s="13" t="inlineStr">
        <is>
          <t>Régis Dubois</t>
        </is>
      </c>
      <c r="L5" s="17" t="inlineStr">
        <is>
          <t>En planification</t>
        </is>
      </c>
      <c r="M5" s="17" t="inlineStr">
        <is>
          <t>Haute</t>
        </is>
      </c>
      <c r="N5" s="13" t="inlineStr"/>
    </row>
    <row r="6" ht="22" customHeight="1">
      <c r="A6" s="14" t="inlineStr">
        <is>
          <t>IN-02</t>
        </is>
      </c>
      <c r="B6" s="14" t="inlineStr">
        <is>
          <t>AX-01</t>
        </is>
      </c>
      <c r="C6" s="14" t="inlineStr">
        <is>
          <t>Exportation</t>
        </is>
      </c>
      <c r="D6" s="14" t="inlineStr">
        <is>
          <t>Exportation pièces usagées — Amér. Centrale</t>
        </is>
      </c>
      <c r="E6" s="14" t="inlineStr">
        <is>
          <t>Créer un canal de distribution de pièces usagées en Amérique Centrale</t>
        </is>
      </c>
      <c r="F6" s="18" t="inlineStr">
        <is>
          <t>3-5 ans</t>
        </is>
      </c>
      <c r="G6" s="14" t="n">
        <v>2028</v>
      </c>
      <c r="H6" s="14" t="inlineStr">
        <is>
          <t>500K$ revenus annuels pièces exportées</t>
        </is>
      </c>
      <c r="I6" s="14" t="inlineStr">
        <is>
          <t>Revenus pièces exportées ($)</t>
        </is>
      </c>
      <c r="J6" s="14" t="inlineStr">
        <is>
          <t>Joël Cartier</t>
        </is>
      </c>
      <c r="K6" s="14" t="inlineStr">
        <is>
          <t>Jason Dubois</t>
        </is>
      </c>
      <c r="L6" s="18" t="inlineStr">
        <is>
          <t>Non démarrée</t>
        </is>
      </c>
      <c r="M6" s="18" t="inlineStr">
        <is>
          <t>Haute</t>
        </is>
      </c>
      <c r="N6" s="14" t="inlineStr"/>
    </row>
    <row r="7" ht="22" customHeight="1">
      <c r="A7" s="13" t="inlineStr">
        <is>
          <t>IN-03</t>
        </is>
      </c>
      <c r="B7" s="13" t="inlineStr">
        <is>
          <t>AX-02</t>
        </is>
      </c>
      <c r="C7" s="13" t="inlineStr">
        <is>
          <t>Opérations</t>
        </is>
      </c>
      <c r="D7" s="13" t="inlineStr">
        <is>
          <t>Gestion visuelle atelier</t>
        </is>
      </c>
      <c r="E7" s="13" t="inlineStr">
        <is>
          <t>Implanter un système de gestion visuelle complet dans l'atelier de production</t>
        </is>
      </c>
      <c r="F7" s="17" t="inlineStr">
        <is>
          <t>0-2 ans</t>
        </is>
      </c>
      <c r="G7" s="13" t="n">
        <v>2025</v>
      </c>
      <c r="H7" s="13" t="inlineStr">
        <is>
          <t>Réduire le temps de recherche d'information de 30%</t>
        </is>
      </c>
      <c r="I7" s="13" t="inlineStr">
        <is>
          <t>Temps moyen résolution problème</t>
        </is>
      </c>
      <c r="J7" s="13" t="inlineStr">
        <is>
          <t>Michael Dubois</t>
        </is>
      </c>
      <c r="K7" s="13" t="inlineStr">
        <is>
          <t>Joël Cartier</t>
        </is>
      </c>
      <c r="L7" s="17" t="inlineStr">
        <is>
          <t>En cours</t>
        </is>
      </c>
      <c r="M7" s="17" t="inlineStr">
        <is>
          <t>Haute</t>
        </is>
      </c>
      <c r="N7" s="13" t="inlineStr"/>
    </row>
    <row r="8" ht="22" customHeight="1">
      <c r="A8" s="14" t="inlineStr">
        <is>
          <t>IN-04</t>
        </is>
      </c>
      <c r="B8" s="14" t="inlineStr">
        <is>
          <t>AX-02</t>
        </is>
      </c>
      <c r="C8" s="14" t="inlineStr">
        <is>
          <t>Opérations</t>
        </is>
      </c>
      <c r="D8" s="14" t="inlineStr">
        <is>
          <t>Standardisation production camions à eau</t>
        </is>
      </c>
      <c r="E8" s="14" t="inlineStr">
        <is>
          <t>Développer et déployer des gammes de fabrication standardisées pour les camions à eau</t>
        </is>
      </c>
      <c r="F8" s="18" t="inlineStr">
        <is>
          <t>0-2 ans</t>
        </is>
      </c>
      <c r="G8" s="14" t="n">
        <v>2025</v>
      </c>
      <c r="H8" s="14" t="inlineStr">
        <is>
          <t>Réduire la variabilité de 25% et le cycle de production de 15%</t>
        </is>
      </c>
      <c r="I8" s="14" t="inlineStr">
        <is>
          <t>Durée moyenne cycle production</t>
        </is>
      </c>
      <c r="J8" s="14" t="inlineStr">
        <is>
          <t>Joël Cartier</t>
        </is>
      </c>
      <c r="K8" s="14" t="inlineStr">
        <is>
          <t>Michael Dubois</t>
        </is>
      </c>
      <c r="L8" s="18" t="inlineStr">
        <is>
          <t>En planification</t>
        </is>
      </c>
      <c r="M8" s="18" t="inlineStr">
        <is>
          <t>Haute</t>
        </is>
      </c>
      <c r="N8" s="14" t="inlineStr"/>
    </row>
    <row r="9" ht="22" customHeight="1">
      <c r="A9" s="13" t="inlineStr">
        <is>
          <t>IN-05</t>
        </is>
      </c>
      <c r="B9" s="13" t="inlineStr">
        <is>
          <t>AX-03</t>
        </is>
      </c>
      <c r="C9" s="13" t="inlineStr">
        <is>
          <t>Ressources Humaines</t>
        </is>
      </c>
      <c r="D9" s="13" t="inlineStr">
        <is>
          <t>Recrutement mécaniciens diesel</t>
        </is>
      </c>
      <c r="E9" s="13" t="inlineStr">
        <is>
          <t>Combler les postes de mécaniciens diesel qualifiés et réduire la dépendance aux sous-traitants</t>
        </is>
      </c>
      <c r="F9" s="17" t="inlineStr">
        <is>
          <t>0-2 ans</t>
        </is>
      </c>
      <c r="G9" s="13" t="n">
        <v>2025</v>
      </c>
      <c r="H9" s="13" t="inlineStr">
        <is>
          <t>Embaucher 4 mécaniciens qualifiés d'ici 18 mois</t>
        </is>
      </c>
      <c r="I9" s="13" t="inlineStr">
        <is>
          <t>Postes comblés / Postes cibles</t>
        </is>
      </c>
      <c r="J9" s="13" t="inlineStr">
        <is>
          <t>Régis Dubois</t>
        </is>
      </c>
      <c r="K9" s="13" t="inlineStr">
        <is>
          <t>Jason Dubois</t>
        </is>
      </c>
      <c r="L9" s="17" t="inlineStr">
        <is>
          <t>En cours</t>
        </is>
      </c>
      <c r="M9" s="17" t="inlineStr">
        <is>
          <t>Haute</t>
        </is>
      </c>
      <c r="N9" s="13" t="inlineStr"/>
    </row>
    <row r="10" ht="22" customHeight="1">
      <c r="A10" s="14" t="inlineStr">
        <is>
          <t>IN-06</t>
        </is>
      </c>
      <c r="B10" s="14" t="inlineStr">
        <is>
          <t>AX-03</t>
        </is>
      </c>
      <c r="C10" s="14" t="inlineStr">
        <is>
          <t>Ressources Humaines</t>
        </is>
      </c>
      <c r="D10" s="14" t="inlineStr">
        <is>
          <t>Programme de rétention &amp; développement</t>
        </is>
      </c>
      <c r="E10" s="14" t="inlineStr">
        <is>
          <t>Mettre en place un programme structuré de rétention et d'évolution des employés clés</t>
        </is>
      </c>
      <c r="F10" s="18" t="inlineStr">
        <is>
          <t>0-2 ans</t>
        </is>
      </c>
      <c r="G10" s="14" t="n">
        <v>2026</v>
      </c>
      <c r="H10" s="14" t="inlineStr">
        <is>
          <t>Réduire le taux de roulement à &lt;10%</t>
        </is>
      </c>
      <c r="I10" s="14" t="inlineStr">
        <is>
          <t>Taux de roulement annuel (%)</t>
        </is>
      </c>
      <c r="J10" s="14" t="inlineStr">
        <is>
          <t>Régis Dubois</t>
        </is>
      </c>
      <c r="K10" s="14" t="inlineStr">
        <is>
          <t>Jason Dubois</t>
        </is>
      </c>
      <c r="L10" s="18" t="inlineStr">
        <is>
          <t>Non démarrée</t>
        </is>
      </c>
      <c r="M10" s="18" t="inlineStr">
        <is>
          <t>Moyenne</t>
        </is>
      </c>
      <c r="N10" s="14" t="inlineStr"/>
    </row>
    <row r="11" ht="22" customHeight="1">
      <c r="A11" s="13" t="inlineStr">
        <is>
          <t>IN-07</t>
        </is>
      </c>
      <c r="B11" s="13" t="inlineStr">
        <is>
          <t>AX-04</t>
        </is>
      </c>
      <c r="C11" s="13" t="inlineStr">
        <is>
          <t>Technologie &amp; Systèmes</t>
        </is>
      </c>
      <c r="D11" s="13" t="inlineStr">
        <is>
          <t>Déploiement écrans de suivi</t>
        </is>
      </c>
      <c r="E11" s="13" t="inlineStr">
        <is>
          <t>Installer des écrans de suivi de production dans tous les secteurs de l'atelier</t>
        </is>
      </c>
      <c r="F11" s="17" t="inlineStr">
        <is>
          <t>0-2 ans</t>
        </is>
      </c>
      <c r="G11" s="13" t="n">
        <v>2025</v>
      </c>
      <c r="H11" s="13" t="inlineStr">
        <is>
          <t>100% des postes de travail couverts par un écran de suivi</t>
        </is>
      </c>
      <c r="I11" s="13" t="inlineStr">
        <is>
          <t>% postes avec écran actif</t>
        </is>
      </c>
      <c r="J11" s="13" t="inlineStr">
        <is>
          <t>Michael Dubois</t>
        </is>
      </c>
      <c r="K11" s="13" t="inlineStr">
        <is>
          <t>Joël Cartier</t>
        </is>
      </c>
      <c r="L11" s="17" t="inlineStr">
        <is>
          <t>En cours</t>
        </is>
      </c>
      <c r="M11" s="17" t="inlineStr">
        <is>
          <t>Haute</t>
        </is>
      </c>
      <c r="N11" s="13" t="inlineStr"/>
    </row>
    <row r="12" ht="22" customHeight="1">
      <c r="A12" s="14" t="inlineStr">
        <is>
          <t>IN-08</t>
        </is>
      </c>
      <c r="B12" s="14" t="inlineStr">
        <is>
          <t>AX-04</t>
        </is>
      </c>
      <c r="C12" s="14" t="inlineStr">
        <is>
          <t>Technologie &amp; Systèmes</t>
        </is>
      </c>
      <c r="D12" s="14" t="inlineStr">
        <is>
          <t>Tableau de bord KPI direction</t>
        </is>
      </c>
      <c r="E12" s="14" t="inlineStr">
        <is>
          <t>Créer un tableau de bord numérique de suivi des KPIs pour la direction</t>
        </is>
      </c>
      <c r="F12" s="18" t="inlineStr">
        <is>
          <t>0-2 ans</t>
        </is>
      </c>
      <c r="G12" s="14" t="n">
        <v>2025</v>
      </c>
      <c r="H12" s="14" t="inlineStr">
        <is>
          <t>Dashboard opérationnel mis à jour en temps réel</t>
        </is>
      </c>
      <c r="I12" s="14" t="inlineStr">
        <is>
          <t>Disponibilité dashboard (%)</t>
        </is>
      </c>
      <c r="J12" s="14" t="inlineStr">
        <is>
          <t>Michael Dubois</t>
        </is>
      </c>
      <c r="K12" s="14" t="inlineStr">
        <is>
          <t>Jason Dubois</t>
        </is>
      </c>
      <c r="L12" s="18" t="inlineStr">
        <is>
          <t>En planification</t>
        </is>
      </c>
      <c r="M12" s="18" t="inlineStr">
        <is>
          <t>Moyenne</t>
        </is>
      </c>
      <c r="N12" s="14" t="inlineStr"/>
    </row>
    <row r="13" ht="22" customHeight="1">
      <c r="A13" s="13" t="inlineStr">
        <is>
          <t>IN-09</t>
        </is>
      </c>
      <c r="B13" s="13" t="inlineStr">
        <is>
          <t>AX-06</t>
        </is>
      </c>
      <c r="C13" s="13" t="inlineStr">
        <is>
          <t>Vente &amp; Développement</t>
        </is>
      </c>
      <c r="D13" s="13" t="inlineStr">
        <is>
          <t>Développement clientèle municipale</t>
        </is>
      </c>
      <c r="E13" s="13" t="inlineStr">
        <is>
          <t>Cibler et développer le segment des municipalités pour les camions à eau et de service</t>
        </is>
      </c>
      <c r="F13" s="17" t="inlineStr">
        <is>
          <t>3-5 ans</t>
        </is>
      </c>
      <c r="G13" s="13" t="n">
        <v>2027</v>
      </c>
      <c r="H13" s="13" t="inlineStr">
        <is>
          <t>10 nouveaux contrats municipaux en 3 ans</t>
        </is>
      </c>
      <c r="I13" s="13" t="inlineStr">
        <is>
          <t>Nb contrats municipaux signés</t>
        </is>
      </c>
      <c r="J13" s="13" t="inlineStr">
        <is>
          <t>Jason Dubois</t>
        </is>
      </c>
      <c r="K13" s="13" t="inlineStr">
        <is>
          <t>Régis Dubois</t>
        </is>
      </c>
      <c r="L13" s="17" t="inlineStr">
        <is>
          <t>Non démarrée</t>
        </is>
      </c>
      <c r="M13" s="17" t="inlineStr">
        <is>
          <t>Haute</t>
        </is>
      </c>
      <c r="N13" s="13" t="inlineStr"/>
    </row>
    <row r="14" ht="22" customHeight="1">
      <c r="A14" s="14" t="inlineStr">
        <is>
          <t>IN-10</t>
        </is>
      </c>
      <c r="B14" s="14" t="inlineStr">
        <is>
          <t>AX-05</t>
        </is>
      </c>
      <c r="C14" s="14" t="inlineStr">
        <is>
          <t>Finance</t>
        </is>
      </c>
      <c r="D14" s="14" t="inlineStr">
        <is>
          <t>Tableau de bord financier mensuel</t>
        </is>
      </c>
      <c r="E14" s="14" t="inlineStr">
        <is>
          <t>Mettre en place un tableau de bord financier mensuel avec indicateurs clés</t>
        </is>
      </c>
      <c r="F14" s="18" t="inlineStr">
        <is>
          <t>0-2 ans</t>
        </is>
      </c>
      <c r="G14" s="14" t="n">
        <v>2025</v>
      </c>
      <c r="H14" s="14" t="inlineStr">
        <is>
          <t>Rapport financier mensuel disponible avant le 10 du mois</t>
        </is>
      </c>
      <c r="I14" s="14" t="inlineStr">
        <is>
          <t>Délai livraison rapport (jours)</t>
        </is>
      </c>
      <c r="J14" s="14" t="inlineStr">
        <is>
          <t>Régis Dubois</t>
        </is>
      </c>
      <c r="K14" s="14" t="inlineStr">
        <is>
          <t>Jason Dubois</t>
        </is>
      </c>
      <c r="L14" s="18" t="inlineStr">
        <is>
          <t>En planification</t>
        </is>
      </c>
      <c r="M14" s="18" t="inlineStr">
        <is>
          <t>Moyenne</t>
        </is>
      </c>
      <c r="N14" s="14" t="inlineStr"/>
    </row>
    <row r="15" ht="22" customHeight="1">
      <c r="A15" s="15" t="n"/>
      <c r="B15" s="15" t="n"/>
      <c r="C15" s="15" t="n"/>
      <c r="D15" s="15" t="n"/>
      <c r="E15" s="15" t="n"/>
      <c r="F15" s="15" t="n"/>
      <c r="G15" s="15" t="n"/>
      <c r="H15" s="15" t="n"/>
      <c r="I15" s="15" t="n"/>
      <c r="J15" s="15" t="n"/>
      <c r="K15" s="15" t="n"/>
      <c r="L15" s="15" t="n"/>
      <c r="M15" s="15" t="n"/>
      <c r="N15" s="15" t="n"/>
    </row>
    <row r="16" ht="22" customHeight="1">
      <c r="A16" s="16" t="n"/>
      <c r="B16" s="16" t="n"/>
      <c r="C16" s="16" t="n"/>
      <c r="D16" s="16" t="n"/>
      <c r="E16" s="16" t="n"/>
      <c r="F16" s="16" t="n"/>
      <c r="G16" s="16" t="n"/>
      <c r="H16" s="16" t="n"/>
      <c r="I16" s="16" t="n"/>
      <c r="J16" s="16" t="n"/>
      <c r="K16" s="16" t="n"/>
      <c r="L16" s="16" t="n"/>
      <c r="M16" s="16" t="n"/>
      <c r="N16" s="16" t="n"/>
    </row>
    <row r="17" ht="22" customHeight="1">
      <c r="A17" s="15" t="n"/>
      <c r="B17" s="15" t="n"/>
      <c r="C17" s="15" t="n"/>
      <c r="D17" s="15" t="n"/>
      <c r="E17" s="15" t="n"/>
      <c r="F17" s="15" t="n"/>
      <c r="G17" s="15" t="n"/>
      <c r="H17" s="15" t="n"/>
      <c r="I17" s="15" t="n"/>
      <c r="J17" s="15" t="n"/>
      <c r="K17" s="15" t="n"/>
      <c r="L17" s="15" t="n"/>
      <c r="M17" s="15" t="n"/>
      <c r="N17" s="15" t="n"/>
    </row>
    <row r="18" ht="22" customHeight="1">
      <c r="A18" s="16" t="n"/>
      <c r="B18" s="16" t="n"/>
      <c r="C18" s="16" t="n"/>
      <c r="D18" s="16" t="n"/>
      <c r="E18" s="16" t="n"/>
      <c r="F18" s="16" t="n"/>
      <c r="G18" s="16" t="n"/>
      <c r="H18" s="16" t="n"/>
      <c r="I18" s="16" t="n"/>
      <c r="J18" s="16" t="n"/>
      <c r="K18" s="16" t="n"/>
      <c r="L18" s="16" t="n"/>
      <c r="M18" s="16" t="n"/>
      <c r="N18" s="16" t="n"/>
    </row>
    <row r="19" ht="22" customHeight="1">
      <c r="A19" s="15" t="n"/>
      <c r="B19" s="15" t="n"/>
      <c r="C19" s="15" t="n"/>
      <c r="D19" s="15" t="n"/>
      <c r="E19" s="15" t="n"/>
      <c r="F19" s="15" t="n"/>
      <c r="G19" s="15" t="n"/>
      <c r="H19" s="15" t="n"/>
      <c r="I19" s="15" t="n"/>
      <c r="J19" s="15" t="n"/>
      <c r="K19" s="15" t="n"/>
      <c r="L19" s="15" t="n"/>
      <c r="M19" s="15" t="n"/>
      <c r="N19" s="15" t="n"/>
    </row>
    <row r="20" ht="22" customHeight="1">
      <c r="A20" s="16" t="n"/>
      <c r="B20" s="16" t="n"/>
      <c r="C20" s="16" t="n"/>
      <c r="D20" s="16" t="n"/>
      <c r="E20" s="16" t="n"/>
      <c r="F20" s="16" t="n"/>
      <c r="G20" s="16" t="n"/>
      <c r="H20" s="16" t="n"/>
      <c r="I20" s="16" t="n"/>
      <c r="J20" s="16" t="n"/>
      <c r="K20" s="16" t="n"/>
      <c r="L20" s="16" t="n"/>
      <c r="M20" s="16" t="n"/>
      <c r="N20" s="16" t="n"/>
    </row>
    <row r="21" ht="22" customHeight="1">
      <c r="A21" s="15" t="n"/>
      <c r="B21" s="15" t="n"/>
      <c r="C21" s="15" t="n"/>
      <c r="D21" s="15" t="n"/>
      <c r="E21" s="15" t="n"/>
      <c r="F21" s="15" t="n"/>
      <c r="G21" s="15" t="n"/>
      <c r="H21" s="15" t="n"/>
      <c r="I21" s="15" t="n"/>
      <c r="J21" s="15" t="n"/>
      <c r="K21" s="15" t="n"/>
      <c r="L21" s="15" t="n"/>
      <c r="M21" s="15" t="n"/>
      <c r="N21" s="15" t="n"/>
    </row>
    <row r="22" ht="22" customHeight="1">
      <c r="A22" s="16" t="n"/>
      <c r="B22" s="16" t="n"/>
      <c r="C22" s="16" t="n"/>
      <c r="D22" s="16" t="n"/>
      <c r="E22" s="16" t="n"/>
      <c r="F22" s="16" t="n"/>
      <c r="G22" s="16" t="n"/>
      <c r="H22" s="16" t="n"/>
      <c r="I22" s="16" t="n"/>
      <c r="J22" s="16" t="n"/>
      <c r="K22" s="16" t="n"/>
      <c r="L22" s="16" t="n"/>
      <c r="M22" s="16" t="n"/>
      <c r="N22" s="16" t="n"/>
    </row>
    <row r="23" ht="22" customHeight="1">
      <c r="A23" s="15" t="n"/>
      <c r="B23" s="15" t="n"/>
      <c r="C23" s="15" t="n"/>
      <c r="D23" s="15" t="n"/>
      <c r="E23" s="15" t="n"/>
      <c r="F23" s="15" t="n"/>
      <c r="G23" s="15" t="n"/>
      <c r="H23" s="15" t="n"/>
      <c r="I23" s="15" t="n"/>
      <c r="J23" s="15" t="n"/>
      <c r="K23" s="15" t="n"/>
      <c r="L23" s="15" t="n"/>
      <c r="M23" s="15" t="n"/>
      <c r="N23" s="15" t="n"/>
    </row>
    <row r="24" ht="22" customHeight="1">
      <c r="A24" s="16" t="n"/>
      <c r="B24" s="16" t="n"/>
      <c r="C24" s="16" t="n"/>
      <c r="D24" s="16" t="n"/>
      <c r="E24" s="16" t="n"/>
      <c r="F24" s="16" t="n"/>
      <c r="G24" s="16" t="n"/>
      <c r="H24" s="16" t="n"/>
      <c r="I24" s="16" t="n"/>
      <c r="J24" s="16" t="n"/>
      <c r="K24" s="16" t="n"/>
      <c r="L24" s="16" t="n"/>
      <c r="M24" s="16" t="n"/>
      <c r="N24" s="16" t="n"/>
    </row>
    <row r="25" ht="22" customHeight="1">
      <c r="A25" s="15" t="n"/>
      <c r="B25" s="15" t="n"/>
      <c r="C25" s="15" t="n"/>
      <c r="D25" s="15" t="n"/>
      <c r="E25" s="15" t="n"/>
      <c r="F25" s="15" t="n"/>
      <c r="G25" s="15" t="n"/>
      <c r="H25" s="15" t="n"/>
      <c r="I25" s="15" t="n"/>
      <c r="J25" s="15" t="n"/>
      <c r="K25" s="15" t="n"/>
      <c r="L25" s="15" t="n"/>
      <c r="M25" s="15" t="n"/>
      <c r="N25" s="15" t="n"/>
    </row>
    <row r="26" ht="22" customHeight="1">
      <c r="A26" s="16" t="n"/>
      <c r="B26" s="16" t="n"/>
      <c r="C26" s="16" t="n"/>
      <c r="D26" s="16" t="n"/>
      <c r="E26" s="16" t="n"/>
      <c r="F26" s="16" t="n"/>
      <c r="G26" s="16" t="n"/>
      <c r="H26" s="16" t="n"/>
      <c r="I26" s="16" t="n"/>
      <c r="J26" s="16" t="n"/>
      <c r="K26" s="16" t="n"/>
      <c r="L26" s="16" t="n"/>
      <c r="M26" s="16" t="n"/>
      <c r="N26" s="16" t="n"/>
    </row>
    <row r="27" ht="22" customHeight="1">
      <c r="A27" s="15" t="n"/>
      <c r="B27" s="15" t="n"/>
      <c r="C27" s="15" t="n"/>
      <c r="D27" s="15" t="n"/>
      <c r="E27" s="15" t="n"/>
      <c r="F27" s="15" t="n"/>
      <c r="G27" s="15" t="n"/>
      <c r="H27" s="15" t="n"/>
      <c r="I27" s="15" t="n"/>
      <c r="J27" s="15" t="n"/>
      <c r="K27" s="15" t="n"/>
      <c r="L27" s="15" t="n"/>
      <c r="M27" s="15" t="n"/>
      <c r="N27" s="15" t="n"/>
    </row>
    <row r="28" ht="22" customHeight="1">
      <c r="A28" s="16" t="n"/>
      <c r="B28" s="16" t="n"/>
      <c r="C28" s="16" t="n"/>
      <c r="D28" s="16" t="n"/>
      <c r="E28" s="16" t="n"/>
      <c r="F28" s="16" t="n"/>
      <c r="G28" s="16" t="n"/>
      <c r="H28" s="16" t="n"/>
      <c r="I28" s="16" t="n"/>
      <c r="J28" s="16" t="n"/>
      <c r="K28" s="16" t="n"/>
      <c r="L28" s="16" t="n"/>
      <c r="M28" s="16" t="n"/>
      <c r="N28" s="16" t="n"/>
    </row>
    <row r="29" ht="22" customHeight="1">
      <c r="A29" s="15" t="n"/>
      <c r="B29" s="15" t="n"/>
      <c r="C29" s="15" t="n"/>
      <c r="D29" s="15" t="n"/>
      <c r="E29" s="15" t="n"/>
      <c r="F29" s="15" t="n"/>
      <c r="G29" s="15" t="n"/>
      <c r="H29" s="15" t="n"/>
      <c r="I29" s="15" t="n"/>
      <c r="J29" s="15" t="n"/>
      <c r="K29" s="15" t="n"/>
      <c r="L29" s="15" t="n"/>
      <c r="M29" s="15" t="n"/>
      <c r="N29" s="15" t="n"/>
    </row>
    <row r="30" ht="22" customHeight="1">
      <c r="A30" s="16" t="n"/>
      <c r="B30" s="16" t="n"/>
      <c r="C30" s="16" t="n"/>
      <c r="D30" s="16" t="n"/>
      <c r="E30" s="16" t="n"/>
      <c r="F30" s="16" t="n"/>
      <c r="G30" s="16" t="n"/>
      <c r="H30" s="16" t="n"/>
      <c r="I30" s="16" t="n"/>
      <c r="J30" s="16" t="n"/>
      <c r="K30" s="16" t="n"/>
      <c r="L30" s="16" t="n"/>
      <c r="M30" s="16" t="n"/>
      <c r="N30" s="16" t="n"/>
    </row>
    <row r="31" ht="22" customHeight="1">
      <c r="A31" s="15" t="n"/>
      <c r="B31" s="15" t="n"/>
      <c r="C31" s="15" t="n"/>
      <c r="D31" s="15" t="n"/>
      <c r="E31" s="15" t="n"/>
      <c r="F31" s="15" t="n"/>
      <c r="G31" s="15" t="n"/>
      <c r="H31" s="15" t="n"/>
      <c r="I31" s="15" t="n"/>
      <c r="J31" s="15" t="n"/>
      <c r="K31" s="15" t="n"/>
      <c r="L31" s="15" t="n"/>
      <c r="M31" s="15" t="n"/>
      <c r="N31" s="15" t="n"/>
    </row>
    <row r="32" ht="22" customHeight="1">
      <c r="A32" s="16" t="n"/>
      <c r="B32" s="16" t="n"/>
      <c r="C32" s="16" t="n"/>
      <c r="D32" s="16" t="n"/>
      <c r="E32" s="16" t="n"/>
      <c r="F32" s="16" t="n"/>
      <c r="G32" s="16" t="n"/>
      <c r="H32" s="16" t="n"/>
      <c r="I32" s="16" t="n"/>
      <c r="J32" s="16" t="n"/>
      <c r="K32" s="16" t="n"/>
      <c r="L32" s="16" t="n"/>
      <c r="M32" s="16" t="n"/>
      <c r="N32" s="16" t="n"/>
    </row>
    <row r="33" ht="22" customHeight="1">
      <c r="A33" s="15" t="n"/>
      <c r="B33" s="15" t="n"/>
      <c r="C33" s="15" t="n"/>
      <c r="D33" s="15" t="n"/>
      <c r="E33" s="15" t="n"/>
      <c r="F33" s="15" t="n"/>
      <c r="G33" s="15" t="n"/>
      <c r="H33" s="15" t="n"/>
      <c r="I33" s="15" t="n"/>
      <c r="J33" s="15" t="n"/>
      <c r="K33" s="15" t="n"/>
      <c r="L33" s="15" t="n"/>
      <c r="M33" s="15" t="n"/>
      <c r="N33" s="15" t="n"/>
    </row>
    <row r="34" ht="22" customHeight="1">
      <c r="A34" s="16" t="n"/>
      <c r="B34" s="16" t="n"/>
      <c r="C34" s="16" t="n"/>
      <c r="D34" s="16" t="n"/>
      <c r="E34" s="16" t="n"/>
      <c r="F34" s="16" t="n"/>
      <c r="G34" s="16" t="n"/>
      <c r="H34" s="16" t="n"/>
      <c r="I34" s="16" t="n"/>
      <c r="J34" s="16" t="n"/>
      <c r="K34" s="16" t="n"/>
      <c r="L34" s="16" t="n"/>
      <c r="M34" s="16" t="n"/>
      <c r="N34" s="16" t="n"/>
    </row>
    <row r="35" ht="22" customHeight="1">
      <c r="A35" s="15" t="n"/>
      <c r="B35" s="15" t="n"/>
      <c r="C35" s="15" t="n"/>
      <c r="D35" s="15" t="n"/>
      <c r="E35" s="15" t="n"/>
      <c r="F35" s="15" t="n"/>
      <c r="G35" s="15" t="n"/>
      <c r="H35" s="15" t="n"/>
      <c r="I35" s="15" t="n"/>
      <c r="J35" s="15" t="n"/>
      <c r="K35" s="15" t="n"/>
      <c r="L35" s="15" t="n"/>
      <c r="M35" s="15" t="n"/>
      <c r="N35" s="15" t="n"/>
    </row>
    <row r="36" ht="22" customHeight="1">
      <c r="A36" s="16" t="n"/>
      <c r="B36" s="16" t="n"/>
      <c r="C36" s="16" t="n"/>
      <c r="D36" s="16" t="n"/>
      <c r="E36" s="16" t="n"/>
      <c r="F36" s="16" t="n"/>
      <c r="G36" s="16" t="n"/>
      <c r="H36" s="16" t="n"/>
      <c r="I36" s="16" t="n"/>
      <c r="J36" s="16" t="n"/>
      <c r="K36" s="16" t="n"/>
      <c r="L36" s="16" t="n"/>
      <c r="M36" s="16" t="n"/>
      <c r="N36" s="16" t="n"/>
    </row>
    <row r="37" ht="22" customHeight="1">
      <c r="A37" s="15" t="n"/>
      <c r="B37" s="15" t="n"/>
      <c r="C37" s="15" t="n"/>
      <c r="D37" s="15" t="n"/>
      <c r="E37" s="15" t="n"/>
      <c r="F37" s="15" t="n"/>
      <c r="G37" s="15" t="n"/>
      <c r="H37" s="15" t="n"/>
      <c r="I37" s="15" t="n"/>
      <c r="J37" s="15" t="n"/>
      <c r="K37" s="15" t="n"/>
      <c r="L37" s="15" t="n"/>
      <c r="M37" s="15" t="n"/>
      <c r="N37" s="15" t="n"/>
    </row>
    <row r="38" ht="22" customHeight="1">
      <c r="A38" s="16" t="n"/>
      <c r="B38" s="16" t="n"/>
      <c r="C38" s="16" t="n"/>
      <c r="D38" s="16" t="n"/>
      <c r="E38" s="16" t="n"/>
      <c r="F38" s="16" t="n"/>
      <c r="G38" s="16" t="n"/>
      <c r="H38" s="16" t="n"/>
      <c r="I38" s="16" t="n"/>
      <c r="J38" s="16" t="n"/>
      <c r="K38" s="16" t="n"/>
      <c r="L38" s="16" t="n"/>
      <c r="M38" s="16" t="n"/>
      <c r="N38" s="16" t="n"/>
    </row>
    <row r="39" ht="22" customHeight="1">
      <c r="A39" s="15" t="n"/>
      <c r="B39" s="15" t="n"/>
      <c r="C39" s="15" t="n"/>
      <c r="D39" s="15" t="n"/>
      <c r="E39" s="15" t="n"/>
      <c r="F39" s="15" t="n"/>
      <c r="G39" s="15" t="n"/>
      <c r="H39" s="15" t="n"/>
      <c r="I39" s="15" t="n"/>
      <c r="J39" s="15" t="n"/>
      <c r="K39" s="15" t="n"/>
      <c r="L39" s="15" t="n"/>
      <c r="M39" s="15" t="n"/>
      <c r="N39" s="15" t="n"/>
    </row>
    <row r="40" ht="22" customHeight="1">
      <c r="A40" s="16" t="n"/>
      <c r="B40" s="16" t="n"/>
      <c r="C40" s="16" t="n"/>
      <c r="D40" s="16" t="n"/>
      <c r="E40" s="16" t="n"/>
      <c r="F40" s="16" t="n"/>
      <c r="G40" s="16" t="n"/>
      <c r="H40" s="16" t="n"/>
      <c r="I40" s="16" t="n"/>
      <c r="J40" s="16" t="n"/>
      <c r="K40" s="16" t="n"/>
      <c r="L40" s="16" t="n"/>
      <c r="M40" s="16" t="n"/>
      <c r="N40" s="16" t="n"/>
    </row>
    <row r="41" ht="22" customHeight="1">
      <c r="A41" s="15" t="n"/>
      <c r="B41" s="15" t="n"/>
      <c r="C41" s="15" t="n"/>
      <c r="D41" s="15" t="n"/>
      <c r="E41" s="15" t="n"/>
      <c r="F41" s="15" t="n"/>
      <c r="G41" s="15" t="n"/>
      <c r="H41" s="15" t="n"/>
      <c r="I41" s="15" t="n"/>
      <c r="J41" s="15" t="n"/>
      <c r="K41" s="15" t="n"/>
      <c r="L41" s="15" t="n"/>
      <c r="M41" s="15" t="n"/>
      <c r="N41" s="15" t="n"/>
    </row>
    <row r="42" ht="22" customHeight="1">
      <c r="A42" s="16" t="n"/>
      <c r="B42" s="16" t="n"/>
      <c r="C42" s="16" t="n"/>
      <c r="D42" s="16" t="n"/>
      <c r="E42" s="16" t="n"/>
      <c r="F42" s="16" t="n"/>
      <c r="G42" s="16" t="n"/>
      <c r="H42" s="16" t="n"/>
      <c r="I42" s="16" t="n"/>
      <c r="J42" s="16" t="n"/>
      <c r="K42" s="16" t="n"/>
      <c r="L42" s="16" t="n"/>
      <c r="M42" s="16" t="n"/>
      <c r="N42" s="16" t="n"/>
    </row>
    <row r="43" ht="22" customHeight="1">
      <c r="A43" s="15" t="n"/>
      <c r="B43" s="15" t="n"/>
      <c r="C43" s="15" t="n"/>
      <c r="D43" s="15" t="n"/>
      <c r="E43" s="15" t="n"/>
      <c r="F43" s="15" t="n"/>
      <c r="G43" s="15" t="n"/>
      <c r="H43" s="15" t="n"/>
      <c r="I43" s="15" t="n"/>
      <c r="J43" s="15" t="n"/>
      <c r="K43" s="15" t="n"/>
      <c r="L43" s="15" t="n"/>
      <c r="M43" s="15" t="n"/>
      <c r="N43" s="15" t="n"/>
    </row>
    <row r="44" ht="22" customHeight="1">
      <c r="A44" s="16" t="n"/>
      <c r="B44" s="16" t="n"/>
      <c r="C44" s="16" t="n"/>
      <c r="D44" s="16" t="n"/>
      <c r="E44" s="16" t="n"/>
      <c r="F44" s="16" t="n"/>
      <c r="G44" s="16" t="n"/>
      <c r="H44" s="16" t="n"/>
      <c r="I44" s="16" t="n"/>
      <c r="J44" s="16" t="n"/>
      <c r="K44" s="16" t="n"/>
      <c r="L44" s="16" t="n"/>
      <c r="M44" s="16" t="n"/>
      <c r="N44" s="16" t="n"/>
    </row>
    <row r="45" ht="22" customHeight="1">
      <c r="A45" s="15" t="n"/>
      <c r="B45" s="15" t="n"/>
      <c r="C45" s="15" t="n"/>
      <c r="D45" s="15" t="n"/>
      <c r="E45" s="15" t="n"/>
      <c r="F45" s="15" t="n"/>
      <c r="G45" s="15" t="n"/>
      <c r="H45" s="15" t="n"/>
      <c r="I45" s="15" t="n"/>
      <c r="J45" s="15" t="n"/>
      <c r="K45" s="15" t="n"/>
      <c r="L45" s="15" t="n"/>
      <c r="M45" s="15" t="n"/>
      <c r="N45" s="15" t="n"/>
    </row>
    <row r="46" ht="22" customHeight="1">
      <c r="A46" s="16" t="n"/>
      <c r="B46" s="16" t="n"/>
      <c r="C46" s="16" t="n"/>
      <c r="D46" s="16" t="n"/>
      <c r="E46" s="16" t="n"/>
      <c r="F46" s="16" t="n"/>
      <c r="G46" s="16" t="n"/>
      <c r="H46" s="16" t="n"/>
      <c r="I46" s="16" t="n"/>
      <c r="J46" s="16" t="n"/>
      <c r="K46" s="16" t="n"/>
      <c r="L46" s="16" t="n"/>
      <c r="M46" s="16" t="n"/>
      <c r="N46" s="16" t="n"/>
    </row>
    <row r="47" ht="22" customHeight="1">
      <c r="A47" s="15" t="n"/>
      <c r="B47" s="15" t="n"/>
      <c r="C47" s="15" t="n"/>
      <c r="D47" s="15" t="n"/>
      <c r="E47" s="15" t="n"/>
      <c r="F47" s="15" t="n"/>
      <c r="G47" s="15" t="n"/>
      <c r="H47" s="15" t="n"/>
      <c r="I47" s="15" t="n"/>
      <c r="J47" s="15" t="n"/>
      <c r="K47" s="15" t="n"/>
      <c r="L47" s="15" t="n"/>
      <c r="M47" s="15" t="n"/>
      <c r="N47" s="15" t="n"/>
    </row>
    <row r="48" ht="22" customHeight="1">
      <c r="A48" s="16" t="n"/>
      <c r="B48" s="16" t="n"/>
      <c r="C48" s="16" t="n"/>
      <c r="D48" s="16" t="n"/>
      <c r="E48" s="16" t="n"/>
      <c r="F48" s="16" t="n"/>
      <c r="G48" s="16" t="n"/>
      <c r="H48" s="16" t="n"/>
      <c r="I48" s="16" t="n"/>
      <c r="J48" s="16" t="n"/>
      <c r="K48" s="16" t="n"/>
      <c r="L48" s="16" t="n"/>
      <c r="M48" s="16" t="n"/>
      <c r="N48" s="16" t="n"/>
    </row>
    <row r="49" ht="22" customHeight="1">
      <c r="A49" s="15" t="n"/>
      <c r="B49" s="15" t="n"/>
      <c r="C49" s="15" t="n"/>
      <c r="D49" s="15" t="n"/>
      <c r="E49" s="15" t="n"/>
      <c r="F49" s="15" t="n"/>
      <c r="G49" s="15" t="n"/>
      <c r="H49" s="15" t="n"/>
      <c r="I49" s="15" t="n"/>
      <c r="J49" s="15" t="n"/>
      <c r="K49" s="15" t="n"/>
      <c r="L49" s="15" t="n"/>
      <c r="M49" s="15" t="n"/>
      <c r="N49" s="15" t="n"/>
    </row>
    <row r="50" ht="22" customHeight="1">
      <c r="A50" s="16" t="n"/>
      <c r="B50" s="16" t="n"/>
      <c r="C50" s="16" t="n"/>
      <c r="D50" s="16" t="n"/>
      <c r="E50" s="16" t="n"/>
      <c r="F50" s="16" t="n"/>
      <c r="G50" s="16" t="n"/>
      <c r="H50" s="16" t="n"/>
      <c r="I50" s="16" t="n"/>
      <c r="J50" s="16" t="n"/>
      <c r="K50" s="16" t="n"/>
      <c r="L50" s="16" t="n"/>
      <c r="M50" s="16" t="n"/>
      <c r="N50" s="16" t="n"/>
    </row>
    <row r="51" ht="22" customHeight="1">
      <c r="A51" s="15" t="n"/>
      <c r="B51" s="15" t="n"/>
      <c r="C51" s="15" t="n"/>
      <c r="D51" s="15" t="n"/>
      <c r="E51" s="15" t="n"/>
      <c r="F51" s="15" t="n"/>
      <c r="G51" s="15" t="n"/>
      <c r="H51" s="15" t="n"/>
      <c r="I51" s="15" t="n"/>
      <c r="J51" s="15" t="n"/>
      <c r="K51" s="15" t="n"/>
      <c r="L51" s="15" t="n"/>
      <c r="M51" s="15" t="n"/>
      <c r="N51" s="15" t="n"/>
    </row>
    <row r="52" ht="22" customHeight="1">
      <c r="A52" s="16" t="n"/>
      <c r="B52" s="16" t="n"/>
      <c r="C52" s="16" t="n"/>
      <c r="D52" s="16" t="n"/>
      <c r="E52" s="16" t="n"/>
      <c r="F52" s="16" t="n"/>
      <c r="G52" s="16" t="n"/>
      <c r="H52" s="16" t="n"/>
      <c r="I52" s="16" t="n"/>
      <c r="J52" s="16" t="n"/>
      <c r="K52" s="16" t="n"/>
      <c r="L52" s="16" t="n"/>
      <c r="M52" s="16" t="n"/>
      <c r="N52" s="16" t="n"/>
    </row>
    <row r="53" ht="22" customHeight="1">
      <c r="A53" s="15" t="n"/>
      <c r="B53" s="15" t="n"/>
      <c r="C53" s="15" t="n"/>
      <c r="D53" s="15" t="n"/>
      <c r="E53" s="15" t="n"/>
      <c r="F53" s="15" t="n"/>
      <c r="G53" s="15" t="n"/>
      <c r="H53" s="15" t="n"/>
      <c r="I53" s="15" t="n"/>
      <c r="J53" s="15" t="n"/>
      <c r="K53" s="15" t="n"/>
      <c r="L53" s="15" t="n"/>
      <c r="M53" s="15" t="n"/>
      <c r="N53" s="15" t="n"/>
    </row>
    <row r="54" ht="22" customHeight="1">
      <c r="A54" s="16" t="n"/>
      <c r="B54" s="16" t="n"/>
      <c r="C54" s="16" t="n"/>
      <c r="D54" s="16" t="n"/>
      <c r="E54" s="16" t="n"/>
      <c r="F54" s="16" t="n"/>
      <c r="G54" s="16" t="n"/>
      <c r="H54" s="16" t="n"/>
      <c r="I54" s="16" t="n"/>
      <c r="J54" s="16" t="n"/>
      <c r="K54" s="16" t="n"/>
      <c r="L54" s="16" t="n"/>
      <c r="M54" s="16" t="n"/>
      <c r="N54" s="16" t="n"/>
    </row>
  </sheetData>
  <autoFilter ref="A4:N54"/>
  <conditionalFormatting sqref="L5:L54">
    <cfRule type="cellIs" priority="1" operator="equal" dxfId="3">
      <formula>"Terminée"</formula>
    </cfRule>
    <cfRule type="cellIs" priority="2" operator="equal" dxfId="4">
      <formula>"En cours"</formula>
    </cfRule>
    <cfRule type="cellIs" priority="3" operator="equal" dxfId="1">
      <formula>"À risque"</formula>
    </cfRule>
    <cfRule type="cellIs" priority="4" operator="equal" dxfId="0">
      <formula>"Bloquée"</formula>
    </cfRule>
    <cfRule type="cellIs" priority="5" operator="equal" dxfId="5">
      <formula>"Non démarrée"</formula>
    </cfRule>
    <cfRule type="cellIs" priority="6" operator="equal" dxfId="6">
      <formula>"En planification"</formula>
    </cfRule>
    <cfRule type="cellIs" priority="7" operator="equal" dxfId="2">
      <formula>"En pause"</formula>
    </cfRule>
  </conditionalFormatting>
  <conditionalFormatting sqref="M5:M54">
    <cfRule type="cellIs" priority="8" operator="equal" dxfId="0">
      <formula>"Haute"</formula>
    </cfRule>
    <cfRule type="cellIs" priority="9" operator="equal" dxfId="1">
      <formula>"Moyenne"</formula>
    </cfRule>
  </conditionalFormatting>
  <dataValidations count="4">
    <dataValidation sqref="F5:F54" showDropDown="0" showInputMessage="0" showErrorMessage="1" allowBlank="1" errorTitle="Valeur invalide" error="Choisir une valeur dans la liste." promptTitle="Horizon" prompt="" type="list">
      <formula1>Listes!$B$2:$B$4</formula1>
    </dataValidation>
    <dataValidation sqref="L5:L54" showDropDown="0" showInputMessage="0" showErrorMessage="1" allowBlank="1" errorTitle="Valeur invalide" error="Choisir une valeur dans la liste." promptTitle="Statut Initiative" prompt="" type="list">
      <formula1>Listes!$D$2:$D$6</formula1>
    </dataValidation>
    <dataValidation sqref="M5:M54" showDropDown="0" showInputMessage="0" showErrorMessage="1" allowBlank="1" errorTitle="Valeur invalide" error="Choisir une valeur dans la liste." promptTitle="Priorité" prompt="" type="list">
      <formula1>Listes!$C$2:$C$4</formula1>
    </dataValidation>
    <dataValidation sqref="J5:K54" showDropDown="0" showInputMessage="0" showErrorMessage="1" allowBlank="1" errorTitle="Valeur invalide" error="Choisir une valeur dans la liste." promptTitle="Personne" prompt="" type="list">
      <formula1>Listes!$E$2:$E$10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AB10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28" customWidth="1" min="3" max="3"/>
    <col width="22" customWidth="1" min="4" max="4"/>
    <col width="28" customWidth="1" min="5" max="5"/>
    <col width="45" customWidth="1" min="6" max="6"/>
    <col width="12" customWidth="1" min="7" max="7"/>
    <col width="10" customWidth="1" min="8" max="8"/>
    <col width="13" customWidth="1" min="9" max="9"/>
    <col width="13" customWidth="1" min="10" max="10"/>
    <col width="13" customWidth="1" min="11" max="11"/>
    <col width="18" customWidth="1" min="12" max="12"/>
    <col width="18" customWidth="1" min="13" max="13"/>
    <col width="18" customWidth="1" min="14" max="14"/>
    <col width="12" customWidth="1" min="15" max="15"/>
    <col width="15" customWidth="1" min="16" max="16"/>
    <col width="40" customWidth="1" min="17" max="17"/>
    <col width="30" customWidth="1" min="18" max="18"/>
    <col width="30" customWidth="1" min="19" max="19"/>
    <col width="30" customWidth="1" min="20" max="20"/>
    <col width="28" customWidth="1" min="21" max="21"/>
    <col width="28" customWidth="1" min="22" max="22"/>
    <col width="28" customWidth="1" min="23" max="23"/>
    <col width="14" customWidth="1" min="24" max="24"/>
    <col width="14" customWidth="1" min="25" max="25"/>
    <col width="35" customWidth="1" min="26" max="26"/>
    <col width="35" customWidth="1" min="27" max="27"/>
    <col width="35" customWidth="1" min="28" max="28"/>
  </cols>
  <sheetData>
    <row r="1" ht="14" customHeight="1"/>
    <row r="2" ht="36" customHeight="1">
      <c r="A2" s="11" t="inlineStr">
        <is>
          <t>PROJETS 90 JOURS — CAMIONS DUBOIS</t>
        </is>
      </c>
    </row>
    <row r="3" ht="10" customHeight="1"/>
    <row r="4" ht="28" customHeight="1">
      <c r="A4" s="12" t="inlineStr">
        <is>
          <t>ID_Projet</t>
        </is>
      </c>
      <c r="B4" s="12" t="inlineStr">
        <is>
          <t>ID_Initiative</t>
        </is>
      </c>
      <c r="C4" s="12" t="inlineStr">
        <is>
          <t>Nom_Initiative</t>
        </is>
      </c>
      <c r="D4" s="12" t="inlineStr">
        <is>
          <t>Axe_Strategique</t>
        </is>
      </c>
      <c r="E4" s="12" t="inlineStr">
        <is>
          <t>Nom_Projet</t>
        </is>
      </c>
      <c r="F4" s="12" t="inlineStr">
        <is>
          <t>Description_Projet</t>
        </is>
      </c>
      <c r="G4" s="12" t="inlineStr">
        <is>
          <t>Horizon</t>
        </is>
      </c>
      <c r="H4" s="12" t="inlineStr">
        <is>
          <t>Trimestre</t>
        </is>
      </c>
      <c r="I4" s="12" t="inlineStr">
        <is>
          <t>Date_Debut</t>
        </is>
      </c>
      <c r="J4" s="12" t="inlineStr">
        <is>
          <t>Date_Fin</t>
        </is>
      </c>
      <c r="K4" s="12" t="inlineStr">
        <is>
          <t>Duree_Jours</t>
        </is>
      </c>
      <c r="L4" s="12" t="inlineStr">
        <is>
          <t>Responsable</t>
        </is>
      </c>
      <c r="M4" s="12" t="inlineStr">
        <is>
          <t>Imputable</t>
        </is>
      </c>
      <c r="N4" s="12" t="inlineStr">
        <is>
          <t>Support</t>
        </is>
      </c>
      <c r="O4" s="12" t="inlineStr">
        <is>
          <t>Priorite</t>
        </is>
      </c>
      <c r="P4" s="12" t="inlineStr">
        <is>
          <t>Statut</t>
        </is>
      </c>
      <c r="Q4" s="12" t="inlineStr">
        <is>
          <t>Objectif_90_Jours</t>
        </is>
      </c>
      <c r="R4" s="12" t="inlineStr">
        <is>
          <t>Livrable_1</t>
        </is>
      </c>
      <c r="S4" s="12" t="inlineStr">
        <is>
          <t>Livrable_2</t>
        </is>
      </c>
      <c r="T4" s="12" t="inlineStr">
        <is>
          <t>Livrable_3</t>
        </is>
      </c>
      <c r="U4" s="12" t="inlineStr">
        <is>
          <t>KPI_1</t>
        </is>
      </c>
      <c r="V4" s="12" t="inlineStr">
        <is>
          <t>KPI_2</t>
        </is>
      </c>
      <c r="W4" s="12" t="inlineStr">
        <is>
          <t>KPI_3</t>
        </is>
      </c>
      <c r="X4" s="12" t="inlineStr">
        <is>
          <t>Budget_Estime</t>
        </is>
      </c>
      <c r="Y4" s="12" t="inlineStr">
        <is>
          <t>Avancement_%</t>
        </is>
      </c>
      <c r="Z4" s="12" t="inlineStr">
        <is>
          <t>Risques_Blocages</t>
        </is>
      </c>
      <c r="AA4" s="12" t="inlineStr">
        <is>
          <t>Prochaine_Etape</t>
        </is>
      </c>
      <c r="AB4" s="12" t="inlineStr">
        <is>
          <t>Commentaires</t>
        </is>
      </c>
    </row>
    <row r="5" ht="22" customHeight="1">
      <c r="A5" s="13" t="inlineStr">
        <is>
          <t>PR-01</t>
        </is>
      </c>
      <c r="B5" s="13" t="inlineStr">
        <is>
          <t>IN-01</t>
        </is>
      </c>
      <c r="C5" s="13" t="inlineStr">
        <is>
          <t>Export camions — Mexique</t>
        </is>
      </c>
      <c r="D5" s="13" t="inlineStr">
        <is>
          <t>Exportation</t>
        </is>
      </c>
      <c r="E5" s="13" t="inlineStr">
        <is>
          <t>Étude de marché Mexique</t>
        </is>
      </c>
      <c r="F5" s="13" t="inlineStr">
        <is>
          <t>Analyser la demande, les réglementations et les concurrents sur le marché mexicain</t>
        </is>
      </c>
      <c r="G5" s="17" t="inlineStr">
        <is>
          <t>3-5 ans</t>
        </is>
      </c>
      <c r="H5" s="17" t="inlineStr">
        <is>
          <t>T2</t>
        </is>
      </c>
      <c r="I5" s="19" t="n">
        <v>45748</v>
      </c>
      <c r="J5" s="19" t="n">
        <v>45822</v>
      </c>
      <c r="K5" s="20">
        <f>IF(AND(I5&lt;&gt;"",J5&lt;&gt;""),J5-I5,"")</f>
        <v/>
      </c>
      <c r="L5" s="13" t="inlineStr">
        <is>
          <t>Jason Dubois</t>
        </is>
      </c>
      <c r="M5" s="13" t="inlineStr">
        <is>
          <t>Régis Dubois</t>
        </is>
      </c>
      <c r="N5" s="13" t="inlineStr">
        <is>
          <t>Consultant</t>
        </is>
      </c>
      <c r="O5" s="17" t="inlineStr">
        <is>
          <t>Haute</t>
        </is>
      </c>
      <c r="P5" s="17" t="inlineStr">
        <is>
          <t>Terminé</t>
        </is>
      </c>
      <c r="Q5" s="13" t="inlineStr">
        <is>
          <t>Produire un rapport d'analyse de marché mexicain complet</t>
        </is>
      </c>
      <c r="R5" s="13" t="inlineStr">
        <is>
          <t>Rapport analyse concurrence</t>
        </is>
      </c>
      <c r="S5" s="13" t="inlineStr">
        <is>
          <t>Carte réglementation importation</t>
        </is>
      </c>
      <c r="T5" s="13" t="inlineStr">
        <is>
          <t>Liste 5 clients cibles</t>
        </is>
      </c>
      <c r="U5" s="13" t="inlineStr">
        <is>
          <t>Date remise rapport</t>
        </is>
      </c>
      <c r="V5" s="13" t="inlineStr">
        <is>
          <t>Nb contacts établis</t>
        </is>
      </c>
      <c r="W5" s="13" t="inlineStr">
        <is>
          <t>Nb barrières identifiées</t>
        </is>
      </c>
      <c r="X5" s="21" t="n">
        <v>15000</v>
      </c>
      <c r="Y5" s="22" t="n">
        <v>1</v>
      </c>
      <c r="Z5" s="13" t="inlineStr">
        <is>
          <t>Délais douaniers difficiles à évaluer</t>
        </is>
      </c>
      <c r="AA5" s="13" t="inlineStr">
        <is>
          <t>Présenter rapport à direction</t>
        </is>
      </c>
      <c r="AB5" s="13" t="inlineStr"/>
    </row>
    <row r="6" ht="22" customHeight="1">
      <c r="A6" s="14" t="inlineStr">
        <is>
          <t>PR-02</t>
        </is>
      </c>
      <c r="B6" s="14" t="inlineStr">
        <is>
          <t>IN-01</t>
        </is>
      </c>
      <c r="C6" s="14" t="inlineStr">
        <is>
          <t>Export camions — Mexique</t>
        </is>
      </c>
      <c r="D6" s="14" t="inlineStr">
        <is>
          <t>Exportation</t>
        </is>
      </c>
      <c r="E6" s="14" t="inlineStr">
        <is>
          <t>Mission prospection Mexique</t>
        </is>
      </c>
      <c r="F6" s="14" t="inlineStr">
        <is>
          <t>Effectuer une mission terrain au Mexique pour rencontrer des distributeurs potentiels</t>
        </is>
      </c>
      <c r="G6" s="18" t="inlineStr">
        <is>
          <t>3-5 ans</t>
        </is>
      </c>
      <c r="H6" s="18" t="inlineStr">
        <is>
          <t>T3</t>
        </is>
      </c>
      <c r="I6" s="23" t="n">
        <v>45839</v>
      </c>
      <c r="J6" s="23" t="n">
        <v>45915</v>
      </c>
      <c r="K6" s="20">
        <f>IF(AND(I6&lt;&gt;"",J6&lt;&gt;""),J6-I6,"")</f>
        <v/>
      </c>
      <c r="L6" s="14" t="inlineStr">
        <is>
          <t>Jason Dubois</t>
        </is>
      </c>
      <c r="M6" s="14" t="inlineStr">
        <is>
          <t>Régis Dubois</t>
        </is>
      </c>
      <c r="N6" s="14" t="inlineStr">
        <is>
          <t>Consultant</t>
        </is>
      </c>
      <c r="O6" s="18" t="inlineStr">
        <is>
          <t>Haute</t>
        </is>
      </c>
      <c r="P6" s="18" t="inlineStr">
        <is>
          <t>En cours</t>
        </is>
      </c>
      <c r="Q6" s="14" t="inlineStr">
        <is>
          <t>Établir 3 partenariats distributeurs au Mexique</t>
        </is>
      </c>
      <c r="R6" s="14" t="inlineStr">
        <is>
          <t>3 lettres d'intention signées</t>
        </is>
      </c>
      <c r="S6" s="14" t="inlineStr">
        <is>
          <t>Plan de suivi distributeurs</t>
        </is>
      </c>
      <c r="T6" s="14" t="inlineStr">
        <is>
          <t>Calendrier visites Q4</t>
        </is>
      </c>
      <c r="U6" s="14" t="inlineStr">
        <is>
          <t>Nb distributeurs rencontrés</t>
        </is>
      </c>
      <c r="V6" s="14" t="inlineStr">
        <is>
          <t>Nb LOI signées</t>
        </is>
      </c>
      <c r="W6" s="14" t="inlineStr">
        <is>
          <t>Pipeline unités estimé</t>
        </is>
      </c>
      <c r="X6" s="21" t="n">
        <v>25000</v>
      </c>
      <c r="Y6" s="22" t="n">
        <v>0.35</v>
      </c>
      <c r="Z6" s="14" t="inlineStr">
        <is>
          <t>Visas et logistique à confirmer</t>
        </is>
      </c>
      <c r="AA6" s="14" t="inlineStr">
        <is>
          <t>Confirmer rendez-vous avec 5 distributeurs</t>
        </is>
      </c>
      <c r="AB6" s="14" t="inlineStr"/>
    </row>
    <row r="7" ht="22" customHeight="1">
      <c r="A7" s="13" t="inlineStr">
        <is>
          <t>PR-03</t>
        </is>
      </c>
      <c r="B7" s="13" t="inlineStr">
        <is>
          <t>IN-02</t>
        </is>
      </c>
      <c r="C7" s="13" t="inlineStr">
        <is>
          <t>Export pièces — Amér. Centrale</t>
        </is>
      </c>
      <c r="D7" s="13" t="inlineStr">
        <is>
          <t>Exportation</t>
        </is>
      </c>
      <c r="E7" s="13" t="inlineStr">
        <is>
          <t>Cartographie marchés Amér. Centrale</t>
        </is>
      </c>
      <c r="F7" s="13" t="inlineStr">
        <is>
          <t>Identifier les marchés prioritaires et les canaux de distribution en Amérique Centrale</t>
        </is>
      </c>
      <c r="G7" s="17" t="inlineStr">
        <is>
          <t>3-5 ans</t>
        </is>
      </c>
      <c r="H7" s="17" t="inlineStr">
        <is>
          <t>T4</t>
        </is>
      </c>
      <c r="I7" s="19" t="n">
        <v>45931</v>
      </c>
      <c r="J7" s="19" t="n">
        <v>46006</v>
      </c>
      <c r="K7" s="20">
        <f>IF(AND(I7&lt;&gt;"",J7&lt;&gt;""),J7-I7,"")</f>
        <v/>
      </c>
      <c r="L7" s="13" t="inlineStr">
        <is>
          <t>Joël Cartier</t>
        </is>
      </c>
      <c r="M7" s="13" t="inlineStr">
        <is>
          <t>Jason Dubois</t>
        </is>
      </c>
      <c r="N7" s="13" t="inlineStr">
        <is>
          <t>À définir</t>
        </is>
      </c>
      <c r="O7" s="17" t="inlineStr">
        <is>
          <t>Haute</t>
        </is>
      </c>
      <c r="P7" s="17" t="inlineStr">
        <is>
          <t>Non démarré</t>
        </is>
      </c>
      <c r="Q7" s="13" t="inlineStr">
        <is>
          <t>Identifier 3 marchés cibles et 5 contacts clés en Amérique Centrale</t>
        </is>
      </c>
      <c r="R7" s="13" t="inlineStr">
        <is>
          <t>Rapport cartographie marchés</t>
        </is>
      </c>
      <c r="S7" s="13" t="inlineStr">
        <is>
          <t>Liste contacts distributeurs</t>
        </is>
      </c>
      <c r="T7" s="13" t="inlineStr">
        <is>
          <t>Budget prospection 2026</t>
        </is>
      </c>
      <c r="U7" s="13" t="inlineStr">
        <is>
          <t>Nb marchés évalués</t>
        </is>
      </c>
      <c r="V7" s="13" t="inlineStr">
        <is>
          <t>Nb contacts qualifiés</t>
        </is>
      </c>
      <c r="W7" s="13" t="inlineStr">
        <is>
          <t>Revenus potentiels estimés ($)</t>
        </is>
      </c>
      <c r="X7" s="21" t="n">
        <v>8000</v>
      </c>
      <c r="Y7" s="22" t="n">
        <v>0</v>
      </c>
      <c r="Z7" s="13" t="inlineStr">
        <is>
          <t>Ressources à identifier</t>
        </is>
      </c>
      <c r="AA7" s="13" t="inlineStr">
        <is>
          <t>Lancer appel d'offres consultant</t>
        </is>
      </c>
      <c r="AB7" s="13" t="inlineStr"/>
    </row>
    <row r="8" ht="22" customHeight="1">
      <c r="A8" s="14" t="inlineStr">
        <is>
          <t>PR-04</t>
        </is>
      </c>
      <c r="B8" s="14" t="inlineStr">
        <is>
          <t>IN-03</t>
        </is>
      </c>
      <c r="C8" s="14" t="inlineStr">
        <is>
          <t>Gestion visuelle atelier</t>
        </is>
      </c>
      <c r="D8" s="14" t="inlineStr">
        <is>
          <t>Opérations</t>
        </is>
      </c>
      <c r="E8" s="14" t="inlineStr">
        <is>
          <t>Audit visuel atelier complet</t>
        </is>
      </c>
      <c r="F8" s="14" t="inlineStr">
        <is>
          <t>Réaliser un audit de l'état actuel de la gestion visuelle dans l'atelier</t>
        </is>
      </c>
      <c r="G8" s="18" t="inlineStr">
        <is>
          <t>0-2 ans</t>
        </is>
      </c>
      <c r="H8" s="18" t="inlineStr">
        <is>
          <t>T1</t>
        </is>
      </c>
      <c r="I8" s="23" t="n">
        <v>45672</v>
      </c>
      <c r="J8" s="23" t="n">
        <v>45731</v>
      </c>
      <c r="K8" s="20">
        <f>IF(AND(I8&lt;&gt;"",J8&lt;&gt;""),J8-I8,"")</f>
        <v/>
      </c>
      <c r="L8" s="14" t="inlineStr">
        <is>
          <t>Michael Dubois</t>
        </is>
      </c>
      <c r="M8" s="14" t="inlineStr">
        <is>
          <t>Joël Cartier</t>
        </is>
      </c>
      <c r="N8" s="14" t="inlineStr">
        <is>
          <t>Consultant</t>
        </is>
      </c>
      <c r="O8" s="18" t="inlineStr">
        <is>
          <t>Haute</t>
        </is>
      </c>
      <c r="P8" s="18" t="inlineStr">
        <is>
          <t>Terminé</t>
        </is>
      </c>
      <c r="Q8" s="14" t="inlineStr">
        <is>
          <t>Produire un rapport d'audit avec carte des lacunes visuelles</t>
        </is>
      </c>
      <c r="R8" s="14" t="inlineStr">
        <is>
          <t>Rapport audit complet</t>
        </is>
      </c>
      <c r="S8" s="14" t="inlineStr">
        <is>
          <t>Carte des zones critiques</t>
        </is>
      </c>
      <c r="T8" s="14" t="inlineStr">
        <is>
          <t>Plan d'action priorisé</t>
        </is>
      </c>
      <c r="U8" s="14" t="inlineStr">
        <is>
          <t>Score audit visuel (/100)</t>
        </is>
      </c>
      <c r="V8" s="14" t="inlineStr">
        <is>
          <t>Nb zones auditées</t>
        </is>
      </c>
      <c r="W8" s="14" t="inlineStr">
        <is>
          <t>Nb opportunités identifiées</t>
        </is>
      </c>
      <c r="X8" s="21" t="n">
        <v>5000</v>
      </c>
      <c r="Y8" s="22" t="n">
        <v>1</v>
      </c>
      <c r="Z8" s="14" t="inlineStr"/>
      <c r="AA8" s="14" t="inlineStr">
        <is>
          <t>Démarrer implantation zones prioritaires</t>
        </is>
      </c>
      <c r="AB8" s="14" t="inlineStr"/>
    </row>
    <row r="9" ht="22" customHeight="1">
      <c r="A9" s="13" t="inlineStr">
        <is>
          <t>PR-05</t>
        </is>
      </c>
      <c r="B9" s="13" t="inlineStr">
        <is>
          <t>IN-03</t>
        </is>
      </c>
      <c r="C9" s="13" t="inlineStr">
        <is>
          <t>Gestion visuelle atelier</t>
        </is>
      </c>
      <c r="D9" s="13" t="inlineStr">
        <is>
          <t>Opérations</t>
        </is>
      </c>
      <c r="E9" s="13" t="inlineStr">
        <is>
          <t>Implantation écrans zone assemblage</t>
        </is>
      </c>
      <c r="F9" s="13" t="inlineStr">
        <is>
          <t>Installer et configurer les écrans de suivi de production dans la zone assemblage</t>
        </is>
      </c>
      <c r="G9" s="17" t="inlineStr">
        <is>
          <t>0-2 ans</t>
        </is>
      </c>
      <c r="H9" s="17" t="inlineStr">
        <is>
          <t>T2</t>
        </is>
      </c>
      <c r="I9" s="19" t="n">
        <v>45748</v>
      </c>
      <c r="J9" s="19" t="n">
        <v>45828</v>
      </c>
      <c r="K9" s="20">
        <f>IF(AND(I9&lt;&gt;"",J9&lt;&gt;""),J9-I9,"")</f>
        <v/>
      </c>
      <c r="L9" s="13" t="inlineStr">
        <is>
          <t>Michael Dubois</t>
        </is>
      </c>
      <c r="M9" s="13" t="inlineStr">
        <is>
          <t>Joël Cartier</t>
        </is>
      </c>
      <c r="N9" s="13" t="inlineStr">
        <is>
          <t>Joël Cartier</t>
        </is>
      </c>
      <c r="O9" s="17" t="inlineStr">
        <is>
          <t>Haute</t>
        </is>
      </c>
      <c r="P9" s="17" t="inlineStr">
        <is>
          <t>En cours</t>
        </is>
      </c>
      <c r="Q9" s="13" t="inlineStr">
        <is>
          <t>100% de la zone assemblage couverte par les écrans de suivi</t>
        </is>
      </c>
      <c r="R9" s="13" t="inlineStr">
        <is>
          <t>4 écrans installés et actifs</t>
        </is>
      </c>
      <c r="S9" s="13" t="inlineStr">
        <is>
          <t>Formation équipe complétée</t>
        </is>
      </c>
      <c r="T9" s="13" t="inlineStr">
        <is>
          <t>Procédures utilisation documentées</t>
        </is>
      </c>
      <c r="U9" s="13" t="inlineStr">
        <is>
          <t>Nb écrans actifs</t>
        </is>
      </c>
      <c r="V9" s="13" t="inlineStr">
        <is>
          <t>% opérateurs formés</t>
        </is>
      </c>
      <c r="W9" s="13" t="inlineStr">
        <is>
          <t>Délai moyen affichage info (s)</t>
        </is>
      </c>
      <c r="X9" s="21" t="n">
        <v>12000</v>
      </c>
      <c r="Y9" s="22" t="n">
        <v>0.6</v>
      </c>
      <c r="Z9" s="13" t="inlineStr">
        <is>
          <t>Intégration avec système ERP à valider</t>
        </is>
      </c>
      <c r="AA9" s="13" t="inlineStr">
        <is>
          <t>Finaliser câblage zone 3</t>
        </is>
      </c>
      <c r="AB9" s="13" t="inlineStr"/>
    </row>
    <row r="10" ht="22" customHeight="1">
      <c r="A10" s="14" t="inlineStr">
        <is>
          <t>PR-06</t>
        </is>
      </c>
      <c r="B10" s="14" t="inlineStr">
        <is>
          <t>IN-04</t>
        </is>
      </c>
      <c r="C10" s="14" t="inlineStr">
        <is>
          <t>Standardisation production</t>
        </is>
      </c>
      <c r="D10" s="14" t="inlineStr">
        <is>
          <t>Opérations</t>
        </is>
      </c>
      <c r="E10" s="14" t="inlineStr">
        <is>
          <t>Cartographie processus production camion eau</t>
        </is>
      </c>
      <c r="F10" s="14" t="inlineStr">
        <is>
          <t>Documenter le processus actuel de fabrication d'un camion à eau de A à Z</t>
        </is>
      </c>
      <c r="G10" s="18" t="inlineStr">
        <is>
          <t>0-2 ans</t>
        </is>
      </c>
      <c r="H10" s="18" t="inlineStr">
        <is>
          <t>T1</t>
        </is>
      </c>
      <c r="I10" s="23" t="n">
        <v>45689</v>
      </c>
      <c r="J10" s="23" t="n">
        <v>45757</v>
      </c>
      <c r="K10" s="20">
        <f>IF(AND(I10&lt;&gt;"",J10&lt;&gt;""),J10-I10,"")</f>
        <v/>
      </c>
      <c r="L10" s="14" t="inlineStr">
        <is>
          <t>Joël Cartier</t>
        </is>
      </c>
      <c r="M10" s="14" t="inlineStr">
        <is>
          <t>Michael Dubois</t>
        </is>
      </c>
      <c r="N10" s="14" t="inlineStr"/>
      <c r="O10" s="18" t="inlineStr">
        <is>
          <t>Haute</t>
        </is>
      </c>
      <c r="P10" s="18" t="inlineStr">
        <is>
          <t>Terminé</t>
        </is>
      </c>
      <c r="Q10" s="14" t="inlineStr">
        <is>
          <t>Cartographie complète du flux de valeur camion eau</t>
        </is>
      </c>
      <c r="R10" s="14" t="inlineStr">
        <is>
          <t>VSM état actuel</t>
        </is>
      </c>
      <c r="S10" s="14" t="inlineStr">
        <is>
          <t>Liste des gaspillages identifiés</t>
        </is>
      </c>
      <c r="T10" s="14" t="inlineStr">
        <is>
          <t>Rapport recommandations</t>
        </is>
      </c>
      <c r="U10" s="14" t="inlineStr">
        <is>
          <t>Durée cycle documentée (jours)</t>
        </is>
      </c>
      <c r="V10" s="14" t="inlineStr">
        <is>
          <t>Nb étapes documentées</t>
        </is>
      </c>
      <c r="W10" s="14" t="inlineStr">
        <is>
          <t>Nb gaspillages identifiés</t>
        </is>
      </c>
      <c r="X10" s="21" t="n">
        <v>3000</v>
      </c>
      <c r="Y10" s="22" t="n">
        <v>1</v>
      </c>
      <c r="Z10" s="14" t="inlineStr"/>
      <c r="AA10" s="14" t="inlineStr">
        <is>
          <t>Lancer projet standardisation étape 1</t>
        </is>
      </c>
      <c r="AB10" s="14" t="inlineStr"/>
    </row>
    <row r="11" ht="22" customHeight="1">
      <c r="A11" s="13" t="inlineStr">
        <is>
          <t>PR-07</t>
        </is>
      </c>
      <c r="B11" s="13" t="inlineStr">
        <is>
          <t>IN-04</t>
        </is>
      </c>
      <c r="C11" s="13" t="inlineStr">
        <is>
          <t>Standardisation production</t>
        </is>
      </c>
      <c r="D11" s="13" t="inlineStr">
        <is>
          <t>Opérations</t>
        </is>
      </c>
      <c r="E11" s="13" t="inlineStr">
        <is>
          <t>Création gammes de fabrication std.</t>
        </is>
      </c>
      <c r="F11" s="13" t="inlineStr">
        <is>
          <t>Rédiger les gammes de fabrication standardisées pour les 5 sous-ensembles critiques</t>
        </is>
      </c>
      <c r="G11" s="17" t="inlineStr">
        <is>
          <t>0-2 ans</t>
        </is>
      </c>
      <c r="H11" s="17" t="inlineStr">
        <is>
          <t>T2</t>
        </is>
      </c>
      <c r="I11" s="19" t="n">
        <v>45778</v>
      </c>
      <c r="J11" s="19" t="n">
        <v>45863</v>
      </c>
      <c r="K11" s="20">
        <f>IF(AND(I11&lt;&gt;"",J11&lt;&gt;""),J11-I11,"")</f>
        <v/>
      </c>
      <c r="L11" s="13" t="inlineStr">
        <is>
          <t>Joël Cartier</t>
        </is>
      </c>
      <c r="M11" s="13" t="inlineStr">
        <is>
          <t>Michael Dubois</t>
        </is>
      </c>
      <c r="N11" s="13" t="inlineStr"/>
      <c r="O11" s="17" t="inlineStr">
        <is>
          <t>Haute</t>
        </is>
      </c>
      <c r="P11" s="17" t="inlineStr">
        <is>
          <t>En cours</t>
        </is>
      </c>
      <c r="Q11" s="13" t="inlineStr">
        <is>
          <t>5 gammes de fabrication validées et déployées en atelier</t>
        </is>
      </c>
      <c r="R11" s="13" t="inlineStr">
        <is>
          <t>5 gammes rédigées et validées</t>
        </is>
      </c>
      <c r="S11" s="13" t="inlineStr">
        <is>
          <t>Fiches poste mises à jour</t>
        </is>
      </c>
      <c r="T11" s="13" t="inlineStr">
        <is>
          <t>Formation compagnons complétée</t>
        </is>
      </c>
      <c r="U11" s="13" t="inlineStr">
        <is>
          <t>Nb gammes déployées</t>
        </is>
      </c>
      <c r="V11" s="13" t="inlineStr">
        <is>
          <t>% conformité gammes</t>
        </is>
      </c>
      <c r="W11" s="13" t="inlineStr">
        <is>
          <t>Durée cycle (avant vs après)</t>
        </is>
      </c>
      <c r="X11" s="21" t="n">
        <v>4000</v>
      </c>
      <c r="Y11" s="22" t="n">
        <v>0.45</v>
      </c>
      <c r="Z11" s="13" t="inlineStr">
        <is>
          <t>Résistance au changement possible</t>
        </is>
      </c>
      <c r="AA11" s="13" t="inlineStr">
        <is>
          <t>Valider gamme sous-ensemble 3 avec Joël</t>
        </is>
      </c>
      <c r="AB11" s="13" t="inlineStr"/>
    </row>
    <row r="12" ht="22" customHeight="1">
      <c r="A12" s="14" t="inlineStr">
        <is>
          <t>PR-08</t>
        </is>
      </c>
      <c r="B12" s="14" t="inlineStr">
        <is>
          <t>IN-05</t>
        </is>
      </c>
      <c r="C12" s="14" t="inlineStr">
        <is>
          <t>Recrutement mécaniciens diesel</t>
        </is>
      </c>
      <c r="D12" s="14" t="inlineStr">
        <is>
          <t>Ressources Humaines</t>
        </is>
      </c>
      <c r="E12" s="14" t="inlineStr">
        <is>
          <t>Campagne recrutement mécaniciens</t>
        </is>
      </c>
      <c r="F12" s="14" t="inlineStr">
        <is>
          <t>Lancer une campagne de recrutement ciblée pour 4 postes de mécaniciens diesel</t>
        </is>
      </c>
      <c r="G12" s="18" t="inlineStr">
        <is>
          <t>0-2 ans</t>
        </is>
      </c>
      <c r="H12" s="18" t="inlineStr">
        <is>
          <t>T2</t>
        </is>
      </c>
      <c r="I12" s="23" t="n">
        <v>45748</v>
      </c>
      <c r="J12" s="23" t="n">
        <v>45838</v>
      </c>
      <c r="K12" s="20">
        <f>IF(AND(I12&lt;&gt;"",J12&lt;&gt;""),J12-I12,"")</f>
        <v/>
      </c>
      <c r="L12" s="14" t="inlineStr">
        <is>
          <t>Régis Dubois</t>
        </is>
      </c>
      <c r="M12" s="14" t="inlineStr">
        <is>
          <t>Jason Dubois</t>
        </is>
      </c>
      <c r="N12" s="14" t="inlineStr"/>
      <c r="O12" s="18" t="inlineStr">
        <is>
          <t>Haute</t>
        </is>
      </c>
      <c r="P12" s="18" t="inlineStr">
        <is>
          <t>En cours</t>
        </is>
      </c>
      <c r="Q12" s="14" t="inlineStr">
        <is>
          <t>Recevoir 20 candidatures qualifiées et compléter 4 entrevues finales</t>
        </is>
      </c>
      <c r="R12" s="14" t="inlineStr">
        <is>
          <t>Affichages actifs sur 3 plateformes</t>
        </is>
      </c>
      <c r="S12" s="14" t="inlineStr">
        <is>
          <t>20 candidatures reçues</t>
        </is>
      </c>
      <c r="T12" s="14" t="inlineStr">
        <is>
          <t>4 entrevues finales planifiées</t>
        </is>
      </c>
      <c r="U12" s="14" t="inlineStr">
        <is>
          <t>Nb candidatures reçues</t>
        </is>
      </c>
      <c r="V12" s="14" t="inlineStr">
        <is>
          <t>Nb entrevues complétées</t>
        </is>
      </c>
      <c r="W12" s="14" t="inlineStr">
        <is>
          <t>Nb offres acceptées</t>
        </is>
      </c>
      <c r="X12" s="21" t="n">
        <v>8000</v>
      </c>
      <c r="Y12" s="22" t="n">
        <v>0.55</v>
      </c>
      <c r="Z12" s="14" t="inlineStr">
        <is>
          <t>Pénurie de main-d'oeuvre dans le secteur</t>
        </is>
      </c>
      <c r="AA12" s="14" t="inlineStr">
        <is>
          <t>Contacter école de mécanique St-Hyacinthe</t>
        </is>
      </c>
      <c r="AB12" s="14" t="inlineStr"/>
    </row>
    <row r="13" ht="22" customHeight="1">
      <c r="A13" s="13" t="inlineStr">
        <is>
          <t>PR-09</t>
        </is>
      </c>
      <c r="B13" s="13" t="inlineStr">
        <is>
          <t>IN-05</t>
        </is>
      </c>
      <c r="C13" s="13" t="inlineStr">
        <is>
          <t>Recrutement mécaniciens diesel</t>
        </is>
      </c>
      <c r="D13" s="13" t="inlineStr">
        <is>
          <t>Ressources Humaines</t>
        </is>
      </c>
      <c r="E13" s="13" t="inlineStr">
        <is>
          <t>Onboarding mécaniciens — programme 30 jours</t>
        </is>
      </c>
      <c r="F13" s="13" t="inlineStr">
        <is>
          <t>Créer et déployer un programme d'intégration structuré de 30 jours</t>
        </is>
      </c>
      <c r="G13" s="17" t="inlineStr">
        <is>
          <t>0-2 ans</t>
        </is>
      </c>
      <c r="H13" s="17" t="inlineStr">
        <is>
          <t>T3</t>
        </is>
      </c>
      <c r="I13" s="19" t="n">
        <v>45839</v>
      </c>
      <c r="J13" s="19" t="n">
        <v>45900</v>
      </c>
      <c r="K13" s="20">
        <f>IF(AND(I13&lt;&gt;"",J13&lt;&gt;""),J13-I13,"")</f>
        <v/>
      </c>
      <c r="L13" s="13" t="inlineStr">
        <is>
          <t>Régis Dubois</t>
        </is>
      </c>
      <c r="M13" s="13" t="inlineStr">
        <is>
          <t>Jason Dubois</t>
        </is>
      </c>
      <c r="N13" s="13" t="inlineStr">
        <is>
          <t>Joël Cartier</t>
        </is>
      </c>
      <c r="O13" s="17" t="inlineStr">
        <is>
          <t>Moyenne</t>
        </is>
      </c>
      <c r="P13" s="17" t="inlineStr">
        <is>
          <t>Non démarré</t>
        </is>
      </c>
      <c r="Q13" s="13" t="inlineStr">
        <is>
          <t>Programme onboarding 30j documenté et premier mécanicien intégré avec succès</t>
        </is>
      </c>
      <c r="R13" s="13" t="inlineStr">
        <is>
          <t>Guide onboarding rédigé</t>
        </is>
      </c>
      <c r="S13" s="13" t="inlineStr">
        <is>
          <t>Calendrier 30j créé</t>
        </is>
      </c>
      <c r="T13" s="13" t="inlineStr">
        <is>
          <t>1er mécanicien intégré</t>
        </is>
      </c>
      <c r="U13" s="13" t="inlineStr">
        <is>
          <t>Taux rétention 90j (%)</t>
        </is>
      </c>
      <c r="V13" s="13" t="inlineStr">
        <is>
          <t>Score satisfaction employé onboarding</t>
        </is>
      </c>
      <c r="W13" s="13" t="inlineStr">
        <is>
          <t>Nb compétences maîtrisées J30</t>
        </is>
      </c>
      <c r="X13" s="21" t="n">
        <v>2000</v>
      </c>
      <c r="Y13" s="22" t="n">
        <v>0</v>
      </c>
      <c r="Z13" s="13" t="inlineStr">
        <is>
          <t>Disponibilité superviseur pour accompagnement</t>
        </is>
      </c>
      <c r="AA13" s="13" t="inlineStr">
        <is>
          <t>Rédiger programme semaine 1</t>
        </is>
      </c>
      <c r="AB13" s="13" t="inlineStr"/>
    </row>
    <row r="14" ht="22" customHeight="1">
      <c r="A14" s="14" t="inlineStr">
        <is>
          <t>PR-10</t>
        </is>
      </c>
      <c r="B14" s="14" t="inlineStr">
        <is>
          <t>IN-07</t>
        </is>
      </c>
      <c r="C14" s="14" t="inlineStr">
        <is>
          <t>Déploiement écrans suivi</t>
        </is>
      </c>
      <c r="D14" s="14" t="inlineStr">
        <is>
          <t>Technologie &amp; Systèmes</t>
        </is>
      </c>
      <c r="E14" s="14" t="inlineStr">
        <is>
          <t>Spécifications techniques écrans</t>
        </is>
      </c>
      <c r="F14" s="14" t="inlineStr">
        <is>
          <t>Définir les spécifications et sélectionner le fournisseur d'écrans de suivi</t>
        </is>
      </c>
      <c r="G14" s="18" t="inlineStr">
        <is>
          <t>0-2 ans</t>
        </is>
      </c>
      <c r="H14" s="18" t="inlineStr">
        <is>
          <t>T1</t>
        </is>
      </c>
      <c r="I14" s="23" t="n">
        <v>45672</v>
      </c>
      <c r="J14" s="23" t="n">
        <v>45747</v>
      </c>
      <c r="K14" s="20">
        <f>IF(AND(I14&lt;&gt;"",J14&lt;&gt;""),J14-I14,"")</f>
        <v/>
      </c>
      <c r="L14" s="14" t="inlineStr">
        <is>
          <t>Michael Dubois</t>
        </is>
      </c>
      <c r="M14" s="14" t="inlineStr">
        <is>
          <t>Joël Cartier</t>
        </is>
      </c>
      <c r="N14" s="14" t="inlineStr"/>
      <c r="O14" s="18" t="inlineStr">
        <is>
          <t>Haute</t>
        </is>
      </c>
      <c r="P14" s="18" t="inlineStr">
        <is>
          <t>Terminé</t>
        </is>
      </c>
      <c r="Q14" s="14" t="inlineStr">
        <is>
          <t>Fournisseur sélectionné et bon de commande émis</t>
        </is>
      </c>
      <c r="R14" s="14" t="inlineStr">
        <is>
          <t>Cahier des charges rédigé</t>
        </is>
      </c>
      <c r="S14" s="14" t="inlineStr">
        <is>
          <t>3 soumissions reçues</t>
        </is>
      </c>
      <c r="T14" s="14" t="inlineStr">
        <is>
          <t>Fournisseur choisi + PO émis</t>
        </is>
      </c>
      <c r="U14" s="14" t="inlineStr">
        <is>
          <t>Nb soumissions évaluées</t>
        </is>
      </c>
      <c r="V14" s="14" t="inlineStr">
        <is>
          <t>Score évaluation fournisseur (/10)</t>
        </is>
      </c>
      <c r="W14" s="14" t="inlineStr">
        <is>
          <t>Délai livraison confirmé</t>
        </is>
      </c>
      <c r="X14" s="21" t="n">
        <v>55000</v>
      </c>
      <c r="Y14" s="22" t="n">
        <v>1</v>
      </c>
      <c r="Z14" s="14" t="inlineStr"/>
      <c r="AA14" s="14" t="inlineStr">
        <is>
          <t>Coordonner installation avec fournisseur</t>
        </is>
      </c>
      <c r="AB14" s="14" t="inlineStr"/>
    </row>
    <row r="15" ht="22" customHeight="1">
      <c r="A15" s="13" t="inlineStr">
        <is>
          <t>PR-11</t>
        </is>
      </c>
      <c r="B15" s="13" t="inlineStr">
        <is>
          <t>IN-08</t>
        </is>
      </c>
      <c r="C15" s="13" t="inlineStr">
        <is>
          <t>Dashboard KPI direction</t>
        </is>
      </c>
      <c r="D15" s="13" t="inlineStr">
        <is>
          <t>Technologie &amp; Systèmes</t>
        </is>
      </c>
      <c r="E15" s="13" t="inlineStr">
        <is>
          <t>Design et prototype dashboard direction</t>
        </is>
      </c>
      <c r="F15" s="13" t="inlineStr">
        <is>
          <t>Concevoir la structure et les KPIs du tableau de bord de direction</t>
        </is>
      </c>
      <c r="G15" s="17" t="inlineStr">
        <is>
          <t>0-2 ans</t>
        </is>
      </c>
      <c r="H15" s="17" t="inlineStr">
        <is>
          <t>T2</t>
        </is>
      </c>
      <c r="I15" s="19" t="n">
        <v>45762</v>
      </c>
      <c r="J15" s="19" t="n">
        <v>45838</v>
      </c>
      <c r="K15" s="20">
        <f>IF(AND(I15&lt;&gt;"",J15&lt;&gt;""),J15-I15,"")</f>
        <v/>
      </c>
      <c r="L15" s="13" t="inlineStr">
        <is>
          <t>Michael Dubois</t>
        </is>
      </c>
      <c r="M15" s="13" t="inlineStr">
        <is>
          <t>Jason Dubois</t>
        </is>
      </c>
      <c r="N15" s="13" t="inlineStr">
        <is>
          <t>Régis Dubois</t>
        </is>
      </c>
      <c r="O15" s="17" t="inlineStr">
        <is>
          <t>Moyenne</t>
        </is>
      </c>
      <c r="P15" s="17" t="inlineStr">
        <is>
          <t>En cours</t>
        </is>
      </c>
      <c r="Q15" s="13" t="inlineStr">
        <is>
          <t>Prototype validé par la direction avec 10 KPIs confirmés</t>
        </is>
      </c>
      <c r="R15" s="13" t="inlineStr">
        <is>
          <t>Prototype Excel/Power BI livré</t>
        </is>
      </c>
      <c r="S15" s="13" t="inlineStr">
        <is>
          <t>10 KPIs validés par direction</t>
        </is>
      </c>
      <c r="T15" s="13" t="inlineStr">
        <is>
          <t>Plan migration données défini</t>
        </is>
      </c>
      <c r="U15" s="13" t="inlineStr">
        <is>
          <t>Score validation direction (/10)</t>
        </is>
      </c>
      <c r="V15" s="13" t="inlineStr">
        <is>
          <t>Nb KPIs intégrés</t>
        </is>
      </c>
      <c r="W15" s="13" t="inlineStr">
        <is>
          <t>Nb sources de données connectées</t>
        </is>
      </c>
      <c r="X15" s="21" t="n">
        <v>6000</v>
      </c>
      <c r="Y15" s="22" t="n">
        <v>0.3</v>
      </c>
      <c r="Z15" s="13" t="inlineStr">
        <is>
          <t>Accès aux données systèmes à confirmer</t>
        </is>
      </c>
      <c r="AA15" s="13" t="inlineStr">
        <is>
          <t>Présenter prototype V1 à Jason</t>
        </is>
      </c>
      <c r="AB15" s="13" t="inlineStr"/>
    </row>
    <row r="16" ht="22" customHeight="1">
      <c r="A16" s="14" t="inlineStr">
        <is>
          <t>PR-12</t>
        </is>
      </c>
      <c r="B16" s="14" t="inlineStr">
        <is>
          <t>IN-09</t>
        </is>
      </c>
      <c r="C16" s="14" t="inlineStr">
        <is>
          <t>Développement clientèle municipale</t>
        </is>
      </c>
      <c r="D16" s="14" t="inlineStr">
        <is>
          <t>Vente &amp; Développement</t>
        </is>
      </c>
      <c r="E16" s="14" t="inlineStr">
        <is>
          <t>Cartographie clients municipaux Québec</t>
        </is>
      </c>
      <c r="F16" s="14" t="inlineStr">
        <is>
          <t>Identifier et prioriser les 50 municipalités cibles pour la vente de camions à eau</t>
        </is>
      </c>
      <c r="G16" s="18" t="inlineStr">
        <is>
          <t>3-5 ans</t>
        </is>
      </c>
      <c r="H16" s="18" t="inlineStr">
        <is>
          <t>T3</t>
        </is>
      </c>
      <c r="I16" s="23" t="n">
        <v>45839</v>
      </c>
      <c r="J16" s="23" t="n">
        <v>45915</v>
      </c>
      <c r="K16" s="20">
        <f>IF(AND(I16&lt;&gt;"",J16&lt;&gt;""),J16-I16,"")</f>
        <v/>
      </c>
      <c r="L16" s="14" t="inlineStr">
        <is>
          <t>Jason Dubois</t>
        </is>
      </c>
      <c r="M16" s="14" t="inlineStr">
        <is>
          <t>Régis Dubois</t>
        </is>
      </c>
      <c r="N16" s="14" t="inlineStr">
        <is>
          <t>Consultant</t>
        </is>
      </c>
      <c r="O16" s="18" t="inlineStr">
        <is>
          <t>Haute</t>
        </is>
      </c>
      <c r="P16" s="18" t="inlineStr">
        <is>
          <t>Non démarré</t>
        </is>
      </c>
      <c r="Q16" s="14" t="inlineStr">
        <is>
          <t>Liste de 50 municipalités cibles priorisées avec contacts identifiés</t>
        </is>
      </c>
      <c r="R16" s="14" t="inlineStr">
        <is>
          <t>Base de données 50 municip. cibles</t>
        </is>
      </c>
      <c r="S16" s="14" t="inlineStr">
        <is>
          <t>50 contacts clés identifiés</t>
        </is>
      </c>
      <c r="T16" s="14" t="inlineStr">
        <is>
          <t>Plan approche muni. Q4</t>
        </is>
      </c>
      <c r="U16" s="14" t="inlineStr">
        <is>
          <t>Nb municip. contactées</t>
        </is>
      </c>
      <c r="V16" s="14" t="inlineStr">
        <is>
          <t>Nb rendez-vous confirmés</t>
        </is>
      </c>
      <c r="W16" s="14" t="inlineStr">
        <is>
          <t>Pipeline estimé ($)</t>
        </is>
      </c>
      <c r="X16" s="21" t="n">
        <v>5000</v>
      </c>
      <c r="Y16" s="22" t="n">
        <v>0</v>
      </c>
      <c r="Z16" s="14" t="inlineStr"/>
      <c r="AA16" s="14" t="inlineStr">
        <is>
          <t>Démarrer recherche MAMH</t>
        </is>
      </c>
      <c r="AB16" s="14" t="inlineStr"/>
    </row>
    <row r="17" ht="22" customHeight="1">
      <c r="A17" s="13" t="inlineStr">
        <is>
          <t>PR-13</t>
        </is>
      </c>
      <c r="B17" s="13" t="inlineStr">
        <is>
          <t>IN-10</t>
        </is>
      </c>
      <c r="C17" s="13" t="inlineStr">
        <is>
          <t>Dashboard financier mensuel</t>
        </is>
      </c>
      <c r="D17" s="13" t="inlineStr">
        <is>
          <t>Finance</t>
        </is>
      </c>
      <c r="E17" s="13" t="inlineStr">
        <is>
          <t>Rapport financier mensuel — format</t>
        </is>
      </c>
      <c r="F17" s="13" t="inlineStr">
        <is>
          <t>Concevoir et valider le format et les indicateurs du rapport financier mensuel</t>
        </is>
      </c>
      <c r="G17" s="17" t="inlineStr">
        <is>
          <t>0-2 ans</t>
        </is>
      </c>
      <c r="H17" s="17" t="inlineStr">
        <is>
          <t>T2</t>
        </is>
      </c>
      <c r="I17" s="19" t="n">
        <v>45748</v>
      </c>
      <c r="J17" s="19" t="n">
        <v>45807</v>
      </c>
      <c r="K17" s="20">
        <f>IF(AND(I17&lt;&gt;"",J17&lt;&gt;""),J17-I17,"")</f>
        <v/>
      </c>
      <c r="L17" s="13" t="inlineStr">
        <is>
          <t>Régis Dubois</t>
        </is>
      </c>
      <c r="M17" s="13" t="inlineStr">
        <is>
          <t>Jason Dubois</t>
        </is>
      </c>
      <c r="N17" s="13" t="inlineStr"/>
      <c r="O17" s="17" t="inlineStr">
        <is>
          <t>Moyenne</t>
        </is>
      </c>
      <c r="P17" s="17" t="inlineStr">
        <is>
          <t>En cours</t>
        </is>
      </c>
      <c r="Q17" s="13" t="inlineStr">
        <is>
          <t>Format du rapport financier mensuel approuvé par direction</t>
        </is>
      </c>
      <c r="R17" s="13" t="inlineStr">
        <is>
          <t>Modèle rapport financier Excel</t>
        </is>
      </c>
      <c r="S17" s="13" t="inlineStr">
        <is>
          <t>10 KPIs financiers définis</t>
        </is>
      </c>
      <c r="T17" s="13" t="inlineStr">
        <is>
          <t>Procédure production rapport</t>
        </is>
      </c>
      <c r="U17" s="13" t="inlineStr">
        <is>
          <t>Date remise premier rapport</t>
        </is>
      </c>
      <c r="V17" s="13" t="inlineStr">
        <is>
          <t>Nb KPIs financiers validés</t>
        </is>
      </c>
      <c r="W17" s="13" t="inlineStr">
        <is>
          <t>Délai production rapport (h)</t>
        </is>
      </c>
      <c r="X17" s="21" t="n">
        <v>3000</v>
      </c>
      <c r="Y17" s="22" t="n">
        <v>0.5</v>
      </c>
      <c r="Z17" s="13" t="inlineStr">
        <is>
          <t>Accès aux données comptables</t>
        </is>
      </c>
      <c r="AA17" s="13" t="inlineStr">
        <is>
          <t>Valider liste KPIs avec Régis</t>
        </is>
      </c>
      <c r="AB17" s="13" t="inlineStr"/>
    </row>
    <row r="18" ht="22" customHeight="1">
      <c r="A18" s="14" t="n"/>
      <c r="B18" s="14" t="n"/>
      <c r="C18" s="14" t="n"/>
      <c r="D18" s="14" t="n"/>
      <c r="E18" s="14" t="n"/>
      <c r="F18" s="14" t="n"/>
      <c r="G18" s="14" t="n"/>
      <c r="H18" s="14" t="n"/>
      <c r="I18" s="23" t="n"/>
      <c r="J18" s="23" t="n"/>
      <c r="K18" s="24">
        <f>IF(AND(I18&lt;&gt;"",J18&lt;&gt;""),J18-I18,"")</f>
        <v/>
      </c>
      <c r="L18" s="14" t="n"/>
      <c r="M18" s="14" t="n"/>
      <c r="N18" s="14" t="n"/>
      <c r="O18" s="14" t="n"/>
      <c r="P18" s="14" t="n"/>
      <c r="Q18" s="14" t="n"/>
      <c r="R18" s="14" t="n"/>
      <c r="S18" s="14" t="n"/>
      <c r="T18" s="14" t="n"/>
      <c r="U18" s="14" t="n"/>
      <c r="V18" s="14" t="n"/>
      <c r="W18" s="14" t="n"/>
      <c r="X18" s="25" t="n"/>
      <c r="Y18" s="26" t="n"/>
      <c r="Z18" s="14" t="n"/>
      <c r="AA18" s="14" t="n"/>
      <c r="AB18" s="14" t="n"/>
    </row>
    <row r="19" ht="22" customHeight="1">
      <c r="A19" s="13" t="n"/>
      <c r="B19" s="13" t="n"/>
      <c r="C19" s="13" t="n"/>
      <c r="D19" s="13" t="n"/>
      <c r="E19" s="13" t="n"/>
      <c r="F19" s="13" t="n"/>
      <c r="G19" s="13" t="n"/>
      <c r="H19" s="13" t="n"/>
      <c r="I19" s="19" t="n"/>
      <c r="J19" s="19" t="n"/>
      <c r="K19" s="20">
        <f>IF(AND(I19&lt;&gt;"",J19&lt;&gt;""),J19-I19,"")</f>
        <v/>
      </c>
      <c r="L19" s="13" t="n"/>
      <c r="M19" s="13" t="n"/>
      <c r="N19" s="13" t="n"/>
      <c r="O19" s="13" t="n"/>
      <c r="P19" s="13" t="n"/>
      <c r="Q19" s="13" t="n"/>
      <c r="R19" s="13" t="n"/>
      <c r="S19" s="13" t="n"/>
      <c r="T19" s="13" t="n"/>
      <c r="U19" s="13" t="n"/>
      <c r="V19" s="13" t="n"/>
      <c r="W19" s="13" t="n"/>
      <c r="X19" s="21" t="n"/>
      <c r="Y19" s="22" t="n"/>
      <c r="Z19" s="13" t="n"/>
      <c r="AA19" s="13" t="n"/>
      <c r="AB19" s="13" t="n"/>
    </row>
    <row r="20" ht="22" customHeight="1">
      <c r="A20" s="14" t="n"/>
      <c r="B20" s="14" t="n"/>
      <c r="C20" s="14" t="n"/>
      <c r="D20" s="14" t="n"/>
      <c r="E20" s="14" t="n"/>
      <c r="F20" s="14" t="n"/>
      <c r="G20" s="14" t="n"/>
      <c r="H20" s="14" t="n"/>
      <c r="I20" s="23" t="n"/>
      <c r="J20" s="23" t="n"/>
      <c r="K20" s="24">
        <f>IF(AND(I20&lt;&gt;"",J20&lt;&gt;""),J20-I20,"")</f>
        <v/>
      </c>
      <c r="L20" s="14" t="n"/>
      <c r="M20" s="14" t="n"/>
      <c r="N20" s="14" t="n"/>
      <c r="O20" s="14" t="n"/>
      <c r="P20" s="14" t="n"/>
      <c r="Q20" s="14" t="n"/>
      <c r="R20" s="14" t="n"/>
      <c r="S20" s="14" t="n"/>
      <c r="T20" s="14" t="n"/>
      <c r="U20" s="14" t="n"/>
      <c r="V20" s="14" t="n"/>
      <c r="W20" s="14" t="n"/>
      <c r="X20" s="25" t="n"/>
      <c r="Y20" s="26" t="n"/>
      <c r="Z20" s="14" t="n"/>
      <c r="AA20" s="14" t="n"/>
      <c r="AB20" s="14" t="n"/>
    </row>
    <row r="21" ht="22" customHeight="1">
      <c r="A21" s="13" t="n"/>
      <c r="B21" s="13" t="n"/>
      <c r="C21" s="13" t="n"/>
      <c r="D21" s="13" t="n"/>
      <c r="E21" s="13" t="n"/>
      <c r="F21" s="13" t="n"/>
      <c r="G21" s="13" t="n"/>
      <c r="H21" s="13" t="n"/>
      <c r="I21" s="19" t="n"/>
      <c r="J21" s="19" t="n"/>
      <c r="K21" s="20">
        <f>IF(AND(I21&lt;&gt;"",J21&lt;&gt;""),J21-I21,"")</f>
        <v/>
      </c>
      <c r="L21" s="13" t="n"/>
      <c r="M21" s="13" t="n"/>
      <c r="N21" s="13" t="n"/>
      <c r="O21" s="13" t="n"/>
      <c r="P21" s="13" t="n"/>
      <c r="Q21" s="13" t="n"/>
      <c r="R21" s="13" t="n"/>
      <c r="S21" s="13" t="n"/>
      <c r="T21" s="13" t="n"/>
      <c r="U21" s="13" t="n"/>
      <c r="V21" s="13" t="n"/>
      <c r="W21" s="13" t="n"/>
      <c r="X21" s="21" t="n"/>
      <c r="Y21" s="22" t="n"/>
      <c r="Z21" s="13" t="n"/>
      <c r="AA21" s="13" t="n"/>
      <c r="AB21" s="13" t="n"/>
    </row>
    <row r="22" ht="22" customHeight="1">
      <c r="A22" s="14" t="n"/>
      <c r="B22" s="14" t="n"/>
      <c r="C22" s="14" t="n"/>
      <c r="D22" s="14" t="n"/>
      <c r="E22" s="14" t="n"/>
      <c r="F22" s="14" t="n"/>
      <c r="G22" s="14" t="n"/>
      <c r="H22" s="14" t="n"/>
      <c r="I22" s="23" t="n"/>
      <c r="J22" s="23" t="n"/>
      <c r="K22" s="24">
        <f>IF(AND(I22&lt;&gt;"",J22&lt;&gt;""),J22-I22,"")</f>
        <v/>
      </c>
      <c r="L22" s="14" t="n"/>
      <c r="M22" s="14" t="n"/>
      <c r="N22" s="14" t="n"/>
      <c r="O22" s="14" t="n"/>
      <c r="P22" s="14" t="n"/>
      <c r="Q22" s="14" t="n"/>
      <c r="R22" s="14" t="n"/>
      <c r="S22" s="14" t="n"/>
      <c r="T22" s="14" t="n"/>
      <c r="U22" s="14" t="n"/>
      <c r="V22" s="14" t="n"/>
      <c r="W22" s="14" t="n"/>
      <c r="X22" s="25" t="n"/>
      <c r="Y22" s="26" t="n"/>
      <c r="Z22" s="14" t="n"/>
      <c r="AA22" s="14" t="n"/>
      <c r="AB22" s="14" t="n"/>
    </row>
    <row r="23" ht="22" customHeight="1">
      <c r="A23" s="13" t="n"/>
      <c r="B23" s="13" t="n"/>
      <c r="C23" s="13" t="n"/>
      <c r="D23" s="13" t="n"/>
      <c r="E23" s="13" t="n"/>
      <c r="F23" s="13" t="n"/>
      <c r="G23" s="13" t="n"/>
      <c r="H23" s="13" t="n"/>
      <c r="I23" s="19" t="n"/>
      <c r="J23" s="19" t="n"/>
      <c r="K23" s="20">
        <f>IF(AND(I23&lt;&gt;"",J23&lt;&gt;""),J23-I23,"")</f>
        <v/>
      </c>
      <c r="L23" s="13" t="n"/>
      <c r="M23" s="13" t="n"/>
      <c r="N23" s="13" t="n"/>
      <c r="O23" s="13" t="n"/>
      <c r="P23" s="13" t="n"/>
      <c r="Q23" s="13" t="n"/>
      <c r="R23" s="13" t="n"/>
      <c r="S23" s="13" t="n"/>
      <c r="T23" s="13" t="n"/>
      <c r="U23" s="13" t="n"/>
      <c r="V23" s="13" t="n"/>
      <c r="W23" s="13" t="n"/>
      <c r="X23" s="21" t="n"/>
      <c r="Y23" s="22" t="n"/>
      <c r="Z23" s="13" t="n"/>
      <c r="AA23" s="13" t="n"/>
      <c r="AB23" s="13" t="n"/>
    </row>
    <row r="24" ht="22" customHeight="1">
      <c r="A24" s="14" t="n"/>
      <c r="B24" s="14" t="n"/>
      <c r="C24" s="14" t="n"/>
      <c r="D24" s="14" t="n"/>
      <c r="E24" s="14" t="n"/>
      <c r="F24" s="14" t="n"/>
      <c r="G24" s="14" t="n"/>
      <c r="H24" s="14" t="n"/>
      <c r="I24" s="23" t="n"/>
      <c r="J24" s="23" t="n"/>
      <c r="K24" s="24">
        <f>IF(AND(I24&lt;&gt;"",J24&lt;&gt;""),J24-I24,"")</f>
        <v/>
      </c>
      <c r="L24" s="14" t="n"/>
      <c r="M24" s="14" t="n"/>
      <c r="N24" s="14" t="n"/>
      <c r="O24" s="14" t="n"/>
      <c r="P24" s="14" t="n"/>
      <c r="Q24" s="14" t="n"/>
      <c r="R24" s="14" t="n"/>
      <c r="S24" s="14" t="n"/>
      <c r="T24" s="14" t="n"/>
      <c r="U24" s="14" t="n"/>
      <c r="V24" s="14" t="n"/>
      <c r="W24" s="14" t="n"/>
      <c r="X24" s="25" t="n"/>
      <c r="Y24" s="26" t="n"/>
      <c r="Z24" s="14" t="n"/>
      <c r="AA24" s="14" t="n"/>
      <c r="AB24" s="14" t="n"/>
    </row>
    <row r="25" ht="22" customHeight="1">
      <c r="A25" s="13" t="n"/>
      <c r="B25" s="13" t="n"/>
      <c r="C25" s="13" t="n"/>
      <c r="D25" s="13" t="n"/>
      <c r="E25" s="13" t="n"/>
      <c r="F25" s="13" t="n"/>
      <c r="G25" s="13" t="n"/>
      <c r="H25" s="13" t="n"/>
      <c r="I25" s="19" t="n"/>
      <c r="J25" s="19" t="n"/>
      <c r="K25" s="20">
        <f>IF(AND(I25&lt;&gt;"",J25&lt;&gt;""),J25-I25,"")</f>
        <v/>
      </c>
      <c r="L25" s="13" t="n"/>
      <c r="M25" s="13" t="n"/>
      <c r="N25" s="13" t="n"/>
      <c r="O25" s="13" t="n"/>
      <c r="P25" s="13" t="n"/>
      <c r="Q25" s="13" t="n"/>
      <c r="R25" s="13" t="n"/>
      <c r="S25" s="13" t="n"/>
      <c r="T25" s="13" t="n"/>
      <c r="U25" s="13" t="n"/>
      <c r="V25" s="13" t="n"/>
      <c r="W25" s="13" t="n"/>
      <c r="X25" s="21" t="n"/>
      <c r="Y25" s="22" t="n"/>
      <c r="Z25" s="13" t="n"/>
      <c r="AA25" s="13" t="n"/>
      <c r="AB25" s="13" t="n"/>
    </row>
    <row r="26" ht="22" customHeight="1">
      <c r="A26" s="14" t="n"/>
      <c r="B26" s="14" t="n"/>
      <c r="C26" s="14" t="n"/>
      <c r="D26" s="14" t="n"/>
      <c r="E26" s="14" t="n"/>
      <c r="F26" s="14" t="n"/>
      <c r="G26" s="14" t="n"/>
      <c r="H26" s="14" t="n"/>
      <c r="I26" s="23" t="n"/>
      <c r="J26" s="23" t="n"/>
      <c r="K26" s="24">
        <f>IF(AND(I26&lt;&gt;"",J26&lt;&gt;""),J26-I26,"")</f>
        <v/>
      </c>
      <c r="L26" s="14" t="n"/>
      <c r="M26" s="14" t="n"/>
      <c r="N26" s="14" t="n"/>
      <c r="O26" s="14" t="n"/>
      <c r="P26" s="14" t="n"/>
      <c r="Q26" s="14" t="n"/>
      <c r="R26" s="14" t="n"/>
      <c r="S26" s="14" t="n"/>
      <c r="T26" s="14" t="n"/>
      <c r="U26" s="14" t="n"/>
      <c r="V26" s="14" t="n"/>
      <c r="W26" s="14" t="n"/>
      <c r="X26" s="25" t="n"/>
      <c r="Y26" s="26" t="n"/>
      <c r="Z26" s="14" t="n"/>
      <c r="AA26" s="14" t="n"/>
      <c r="AB26" s="14" t="n"/>
    </row>
    <row r="27" ht="22" customHeight="1">
      <c r="A27" s="13" t="n"/>
      <c r="B27" s="13" t="n"/>
      <c r="C27" s="13" t="n"/>
      <c r="D27" s="13" t="n"/>
      <c r="E27" s="13" t="n"/>
      <c r="F27" s="13" t="n"/>
      <c r="G27" s="13" t="n"/>
      <c r="H27" s="13" t="n"/>
      <c r="I27" s="19" t="n"/>
      <c r="J27" s="19" t="n"/>
      <c r="K27" s="20">
        <f>IF(AND(I27&lt;&gt;"",J27&lt;&gt;""),J27-I27,"")</f>
        <v/>
      </c>
      <c r="L27" s="13" t="n"/>
      <c r="M27" s="13" t="n"/>
      <c r="N27" s="13" t="n"/>
      <c r="O27" s="13" t="n"/>
      <c r="P27" s="13" t="n"/>
      <c r="Q27" s="13" t="n"/>
      <c r="R27" s="13" t="n"/>
      <c r="S27" s="13" t="n"/>
      <c r="T27" s="13" t="n"/>
      <c r="U27" s="13" t="n"/>
      <c r="V27" s="13" t="n"/>
      <c r="W27" s="13" t="n"/>
      <c r="X27" s="21" t="n"/>
      <c r="Y27" s="22" t="n"/>
      <c r="Z27" s="13" t="n"/>
      <c r="AA27" s="13" t="n"/>
      <c r="AB27" s="13" t="n"/>
    </row>
    <row r="28" ht="22" customHeight="1">
      <c r="A28" s="14" t="n"/>
      <c r="B28" s="14" t="n"/>
      <c r="C28" s="14" t="n"/>
      <c r="D28" s="14" t="n"/>
      <c r="E28" s="14" t="n"/>
      <c r="F28" s="14" t="n"/>
      <c r="G28" s="14" t="n"/>
      <c r="H28" s="14" t="n"/>
      <c r="I28" s="23" t="n"/>
      <c r="J28" s="23" t="n"/>
      <c r="K28" s="24">
        <f>IF(AND(I28&lt;&gt;"",J28&lt;&gt;""),J28-I28,"")</f>
        <v/>
      </c>
      <c r="L28" s="14" t="n"/>
      <c r="M28" s="14" t="n"/>
      <c r="N28" s="14" t="n"/>
      <c r="O28" s="14" t="n"/>
      <c r="P28" s="14" t="n"/>
      <c r="Q28" s="14" t="n"/>
      <c r="R28" s="14" t="n"/>
      <c r="S28" s="14" t="n"/>
      <c r="T28" s="14" t="n"/>
      <c r="U28" s="14" t="n"/>
      <c r="V28" s="14" t="n"/>
      <c r="W28" s="14" t="n"/>
      <c r="X28" s="25" t="n"/>
      <c r="Y28" s="26" t="n"/>
      <c r="Z28" s="14" t="n"/>
      <c r="AA28" s="14" t="n"/>
      <c r="AB28" s="14" t="n"/>
    </row>
    <row r="29" ht="22" customHeight="1">
      <c r="A29" s="13" t="n"/>
      <c r="B29" s="13" t="n"/>
      <c r="C29" s="13" t="n"/>
      <c r="D29" s="13" t="n"/>
      <c r="E29" s="13" t="n"/>
      <c r="F29" s="13" t="n"/>
      <c r="G29" s="13" t="n"/>
      <c r="H29" s="13" t="n"/>
      <c r="I29" s="19" t="n"/>
      <c r="J29" s="19" t="n"/>
      <c r="K29" s="20">
        <f>IF(AND(I29&lt;&gt;"",J29&lt;&gt;""),J29-I29,"")</f>
        <v/>
      </c>
      <c r="L29" s="13" t="n"/>
      <c r="M29" s="13" t="n"/>
      <c r="N29" s="13" t="n"/>
      <c r="O29" s="13" t="n"/>
      <c r="P29" s="13" t="n"/>
      <c r="Q29" s="13" t="n"/>
      <c r="R29" s="13" t="n"/>
      <c r="S29" s="13" t="n"/>
      <c r="T29" s="13" t="n"/>
      <c r="U29" s="13" t="n"/>
      <c r="V29" s="13" t="n"/>
      <c r="W29" s="13" t="n"/>
      <c r="X29" s="21" t="n"/>
      <c r="Y29" s="22" t="n"/>
      <c r="Z29" s="13" t="n"/>
      <c r="AA29" s="13" t="n"/>
      <c r="AB29" s="13" t="n"/>
    </row>
    <row r="30" ht="22" customHeight="1">
      <c r="A30" s="14" t="n"/>
      <c r="B30" s="14" t="n"/>
      <c r="C30" s="14" t="n"/>
      <c r="D30" s="14" t="n"/>
      <c r="E30" s="14" t="n"/>
      <c r="F30" s="14" t="n"/>
      <c r="G30" s="14" t="n"/>
      <c r="H30" s="14" t="n"/>
      <c r="I30" s="23" t="n"/>
      <c r="J30" s="23" t="n"/>
      <c r="K30" s="24">
        <f>IF(AND(I30&lt;&gt;"",J30&lt;&gt;""),J30-I30,"")</f>
        <v/>
      </c>
      <c r="L30" s="14" t="n"/>
      <c r="M30" s="14" t="n"/>
      <c r="N30" s="14" t="n"/>
      <c r="O30" s="14" t="n"/>
      <c r="P30" s="14" t="n"/>
      <c r="Q30" s="14" t="n"/>
      <c r="R30" s="14" t="n"/>
      <c r="S30" s="14" t="n"/>
      <c r="T30" s="14" t="n"/>
      <c r="U30" s="14" t="n"/>
      <c r="V30" s="14" t="n"/>
      <c r="W30" s="14" t="n"/>
      <c r="X30" s="25" t="n"/>
      <c r="Y30" s="26" t="n"/>
      <c r="Z30" s="14" t="n"/>
      <c r="AA30" s="14" t="n"/>
      <c r="AB30" s="14" t="n"/>
    </row>
    <row r="31" ht="22" customHeight="1">
      <c r="A31" s="13" t="n"/>
      <c r="B31" s="13" t="n"/>
      <c r="C31" s="13" t="n"/>
      <c r="D31" s="13" t="n"/>
      <c r="E31" s="13" t="n"/>
      <c r="F31" s="13" t="n"/>
      <c r="G31" s="13" t="n"/>
      <c r="H31" s="13" t="n"/>
      <c r="I31" s="19" t="n"/>
      <c r="J31" s="19" t="n"/>
      <c r="K31" s="20">
        <f>IF(AND(I31&lt;&gt;"",J31&lt;&gt;""),J31-I31,"")</f>
        <v/>
      </c>
      <c r="L31" s="13" t="n"/>
      <c r="M31" s="13" t="n"/>
      <c r="N31" s="13" t="n"/>
      <c r="O31" s="13" t="n"/>
      <c r="P31" s="13" t="n"/>
      <c r="Q31" s="13" t="n"/>
      <c r="R31" s="13" t="n"/>
      <c r="S31" s="13" t="n"/>
      <c r="T31" s="13" t="n"/>
      <c r="U31" s="13" t="n"/>
      <c r="V31" s="13" t="n"/>
      <c r="W31" s="13" t="n"/>
      <c r="X31" s="21" t="n"/>
      <c r="Y31" s="22" t="n"/>
      <c r="Z31" s="13" t="n"/>
      <c r="AA31" s="13" t="n"/>
      <c r="AB31" s="13" t="n"/>
    </row>
    <row r="32" ht="22" customHeight="1">
      <c r="A32" s="14" t="n"/>
      <c r="B32" s="14" t="n"/>
      <c r="C32" s="14" t="n"/>
      <c r="D32" s="14" t="n"/>
      <c r="E32" s="14" t="n"/>
      <c r="F32" s="14" t="n"/>
      <c r="G32" s="14" t="n"/>
      <c r="H32" s="14" t="n"/>
      <c r="I32" s="23" t="n"/>
      <c r="J32" s="23" t="n"/>
      <c r="K32" s="24">
        <f>IF(AND(I32&lt;&gt;"",J32&lt;&gt;""),J32-I32,"")</f>
        <v/>
      </c>
      <c r="L32" s="14" t="n"/>
      <c r="M32" s="14" t="n"/>
      <c r="N32" s="14" t="n"/>
      <c r="O32" s="14" t="n"/>
      <c r="P32" s="14" t="n"/>
      <c r="Q32" s="14" t="n"/>
      <c r="R32" s="14" t="n"/>
      <c r="S32" s="14" t="n"/>
      <c r="T32" s="14" t="n"/>
      <c r="U32" s="14" t="n"/>
      <c r="V32" s="14" t="n"/>
      <c r="W32" s="14" t="n"/>
      <c r="X32" s="25" t="n"/>
      <c r="Y32" s="26" t="n"/>
      <c r="Z32" s="14" t="n"/>
      <c r="AA32" s="14" t="n"/>
      <c r="AB32" s="14" t="n"/>
    </row>
    <row r="33" ht="22" customHeight="1">
      <c r="A33" s="13" t="n"/>
      <c r="B33" s="13" t="n"/>
      <c r="C33" s="13" t="n"/>
      <c r="D33" s="13" t="n"/>
      <c r="E33" s="13" t="n"/>
      <c r="F33" s="13" t="n"/>
      <c r="G33" s="13" t="n"/>
      <c r="H33" s="13" t="n"/>
      <c r="I33" s="19" t="n"/>
      <c r="J33" s="19" t="n"/>
      <c r="K33" s="20">
        <f>IF(AND(I33&lt;&gt;"",J33&lt;&gt;""),J33-I33,"")</f>
        <v/>
      </c>
      <c r="L33" s="13" t="n"/>
      <c r="M33" s="13" t="n"/>
      <c r="N33" s="13" t="n"/>
      <c r="O33" s="13" t="n"/>
      <c r="P33" s="13" t="n"/>
      <c r="Q33" s="13" t="n"/>
      <c r="R33" s="13" t="n"/>
      <c r="S33" s="13" t="n"/>
      <c r="T33" s="13" t="n"/>
      <c r="U33" s="13" t="n"/>
      <c r="V33" s="13" t="n"/>
      <c r="W33" s="13" t="n"/>
      <c r="X33" s="21" t="n"/>
      <c r="Y33" s="22" t="n"/>
      <c r="Z33" s="13" t="n"/>
      <c r="AA33" s="13" t="n"/>
      <c r="AB33" s="13" t="n"/>
    </row>
    <row r="34" ht="22" customHeight="1">
      <c r="A34" s="14" t="n"/>
      <c r="B34" s="14" t="n"/>
      <c r="C34" s="14" t="n"/>
      <c r="D34" s="14" t="n"/>
      <c r="E34" s="14" t="n"/>
      <c r="F34" s="14" t="n"/>
      <c r="G34" s="14" t="n"/>
      <c r="H34" s="14" t="n"/>
      <c r="I34" s="23" t="n"/>
      <c r="J34" s="23" t="n"/>
      <c r="K34" s="24">
        <f>IF(AND(I34&lt;&gt;"",J34&lt;&gt;""),J34-I34,"")</f>
        <v/>
      </c>
      <c r="L34" s="14" t="n"/>
      <c r="M34" s="14" t="n"/>
      <c r="N34" s="14" t="n"/>
      <c r="O34" s="14" t="n"/>
      <c r="P34" s="14" t="n"/>
      <c r="Q34" s="14" t="n"/>
      <c r="R34" s="14" t="n"/>
      <c r="S34" s="14" t="n"/>
      <c r="T34" s="14" t="n"/>
      <c r="U34" s="14" t="n"/>
      <c r="V34" s="14" t="n"/>
      <c r="W34" s="14" t="n"/>
      <c r="X34" s="25" t="n"/>
      <c r="Y34" s="26" t="n"/>
      <c r="Z34" s="14" t="n"/>
      <c r="AA34" s="14" t="n"/>
      <c r="AB34" s="14" t="n"/>
    </row>
    <row r="35" ht="22" customHeight="1">
      <c r="A35" s="13" t="n"/>
      <c r="B35" s="13" t="n"/>
      <c r="C35" s="13" t="n"/>
      <c r="D35" s="13" t="n"/>
      <c r="E35" s="13" t="n"/>
      <c r="F35" s="13" t="n"/>
      <c r="G35" s="13" t="n"/>
      <c r="H35" s="13" t="n"/>
      <c r="I35" s="19" t="n"/>
      <c r="J35" s="19" t="n"/>
      <c r="K35" s="20">
        <f>IF(AND(I35&lt;&gt;"",J35&lt;&gt;""),J35-I35,"")</f>
        <v/>
      </c>
      <c r="L35" s="13" t="n"/>
      <c r="M35" s="13" t="n"/>
      <c r="N35" s="13" t="n"/>
      <c r="O35" s="13" t="n"/>
      <c r="P35" s="13" t="n"/>
      <c r="Q35" s="13" t="n"/>
      <c r="R35" s="13" t="n"/>
      <c r="S35" s="13" t="n"/>
      <c r="T35" s="13" t="n"/>
      <c r="U35" s="13" t="n"/>
      <c r="V35" s="13" t="n"/>
      <c r="W35" s="13" t="n"/>
      <c r="X35" s="21" t="n"/>
      <c r="Y35" s="22" t="n"/>
      <c r="Z35" s="13" t="n"/>
      <c r="AA35" s="13" t="n"/>
      <c r="AB35" s="13" t="n"/>
    </row>
    <row r="36" ht="22" customHeight="1">
      <c r="A36" s="14" t="n"/>
      <c r="B36" s="14" t="n"/>
      <c r="C36" s="14" t="n"/>
      <c r="D36" s="14" t="n"/>
      <c r="E36" s="14" t="n"/>
      <c r="F36" s="14" t="n"/>
      <c r="G36" s="14" t="n"/>
      <c r="H36" s="14" t="n"/>
      <c r="I36" s="23" t="n"/>
      <c r="J36" s="23" t="n"/>
      <c r="K36" s="24">
        <f>IF(AND(I36&lt;&gt;"",J36&lt;&gt;""),J36-I36,"")</f>
        <v/>
      </c>
      <c r="L36" s="14" t="n"/>
      <c r="M36" s="14" t="n"/>
      <c r="N36" s="14" t="n"/>
      <c r="O36" s="14" t="n"/>
      <c r="P36" s="14" t="n"/>
      <c r="Q36" s="14" t="n"/>
      <c r="R36" s="14" t="n"/>
      <c r="S36" s="14" t="n"/>
      <c r="T36" s="14" t="n"/>
      <c r="U36" s="14" t="n"/>
      <c r="V36" s="14" t="n"/>
      <c r="W36" s="14" t="n"/>
      <c r="X36" s="25" t="n"/>
      <c r="Y36" s="26" t="n"/>
      <c r="Z36" s="14" t="n"/>
      <c r="AA36" s="14" t="n"/>
      <c r="AB36" s="14" t="n"/>
    </row>
    <row r="37" ht="22" customHeight="1">
      <c r="A37" s="13" t="n"/>
      <c r="B37" s="13" t="n"/>
      <c r="C37" s="13" t="n"/>
      <c r="D37" s="13" t="n"/>
      <c r="E37" s="13" t="n"/>
      <c r="F37" s="13" t="n"/>
      <c r="G37" s="13" t="n"/>
      <c r="H37" s="13" t="n"/>
      <c r="I37" s="19" t="n"/>
      <c r="J37" s="19" t="n"/>
      <c r="K37" s="20">
        <f>IF(AND(I37&lt;&gt;"",J37&lt;&gt;""),J37-I37,"")</f>
        <v/>
      </c>
      <c r="L37" s="13" t="n"/>
      <c r="M37" s="13" t="n"/>
      <c r="N37" s="13" t="n"/>
      <c r="O37" s="13" t="n"/>
      <c r="P37" s="13" t="n"/>
      <c r="Q37" s="13" t="n"/>
      <c r="R37" s="13" t="n"/>
      <c r="S37" s="13" t="n"/>
      <c r="T37" s="13" t="n"/>
      <c r="U37" s="13" t="n"/>
      <c r="V37" s="13" t="n"/>
      <c r="W37" s="13" t="n"/>
      <c r="X37" s="21" t="n"/>
      <c r="Y37" s="22" t="n"/>
      <c r="Z37" s="13" t="n"/>
      <c r="AA37" s="13" t="n"/>
      <c r="AB37" s="13" t="n"/>
    </row>
    <row r="38" ht="22" customHeight="1">
      <c r="A38" s="14" t="n"/>
      <c r="B38" s="14" t="n"/>
      <c r="C38" s="14" t="n"/>
      <c r="D38" s="14" t="n"/>
      <c r="E38" s="14" t="n"/>
      <c r="F38" s="14" t="n"/>
      <c r="G38" s="14" t="n"/>
      <c r="H38" s="14" t="n"/>
      <c r="I38" s="23" t="n"/>
      <c r="J38" s="23" t="n"/>
      <c r="K38" s="24">
        <f>IF(AND(I38&lt;&gt;"",J38&lt;&gt;""),J38-I38,"")</f>
        <v/>
      </c>
      <c r="L38" s="14" t="n"/>
      <c r="M38" s="14" t="n"/>
      <c r="N38" s="14" t="n"/>
      <c r="O38" s="14" t="n"/>
      <c r="P38" s="14" t="n"/>
      <c r="Q38" s="14" t="n"/>
      <c r="R38" s="14" t="n"/>
      <c r="S38" s="14" t="n"/>
      <c r="T38" s="14" t="n"/>
      <c r="U38" s="14" t="n"/>
      <c r="V38" s="14" t="n"/>
      <c r="W38" s="14" t="n"/>
      <c r="X38" s="25" t="n"/>
      <c r="Y38" s="26" t="n"/>
      <c r="Z38" s="14" t="n"/>
      <c r="AA38" s="14" t="n"/>
      <c r="AB38" s="14" t="n"/>
    </row>
    <row r="39" ht="22" customHeight="1">
      <c r="A39" s="13" t="n"/>
      <c r="B39" s="13" t="n"/>
      <c r="C39" s="13" t="n"/>
      <c r="D39" s="13" t="n"/>
      <c r="E39" s="13" t="n"/>
      <c r="F39" s="13" t="n"/>
      <c r="G39" s="13" t="n"/>
      <c r="H39" s="13" t="n"/>
      <c r="I39" s="19" t="n"/>
      <c r="J39" s="19" t="n"/>
      <c r="K39" s="20">
        <f>IF(AND(I39&lt;&gt;"",J39&lt;&gt;""),J39-I39,"")</f>
        <v/>
      </c>
      <c r="L39" s="13" t="n"/>
      <c r="M39" s="13" t="n"/>
      <c r="N39" s="13" t="n"/>
      <c r="O39" s="13" t="n"/>
      <c r="P39" s="13" t="n"/>
      <c r="Q39" s="13" t="n"/>
      <c r="R39" s="13" t="n"/>
      <c r="S39" s="13" t="n"/>
      <c r="T39" s="13" t="n"/>
      <c r="U39" s="13" t="n"/>
      <c r="V39" s="13" t="n"/>
      <c r="W39" s="13" t="n"/>
      <c r="X39" s="21" t="n"/>
      <c r="Y39" s="22" t="n"/>
      <c r="Z39" s="13" t="n"/>
      <c r="AA39" s="13" t="n"/>
      <c r="AB39" s="13" t="n"/>
    </row>
    <row r="40" ht="22" customHeight="1">
      <c r="A40" s="14" t="n"/>
      <c r="B40" s="14" t="n"/>
      <c r="C40" s="14" t="n"/>
      <c r="D40" s="14" t="n"/>
      <c r="E40" s="14" t="n"/>
      <c r="F40" s="14" t="n"/>
      <c r="G40" s="14" t="n"/>
      <c r="H40" s="14" t="n"/>
      <c r="I40" s="23" t="n"/>
      <c r="J40" s="23" t="n"/>
      <c r="K40" s="24">
        <f>IF(AND(I40&lt;&gt;"",J40&lt;&gt;""),J40-I40,"")</f>
        <v/>
      </c>
      <c r="L40" s="14" t="n"/>
      <c r="M40" s="14" t="n"/>
      <c r="N40" s="14" t="n"/>
      <c r="O40" s="14" t="n"/>
      <c r="P40" s="14" t="n"/>
      <c r="Q40" s="14" t="n"/>
      <c r="R40" s="14" t="n"/>
      <c r="S40" s="14" t="n"/>
      <c r="T40" s="14" t="n"/>
      <c r="U40" s="14" t="n"/>
      <c r="V40" s="14" t="n"/>
      <c r="W40" s="14" t="n"/>
      <c r="X40" s="25" t="n"/>
      <c r="Y40" s="26" t="n"/>
      <c r="Z40" s="14" t="n"/>
      <c r="AA40" s="14" t="n"/>
      <c r="AB40" s="14" t="n"/>
    </row>
    <row r="41" ht="22" customHeight="1">
      <c r="A41" s="13" t="n"/>
      <c r="B41" s="13" t="n"/>
      <c r="C41" s="13" t="n"/>
      <c r="D41" s="13" t="n"/>
      <c r="E41" s="13" t="n"/>
      <c r="F41" s="13" t="n"/>
      <c r="G41" s="13" t="n"/>
      <c r="H41" s="13" t="n"/>
      <c r="I41" s="19" t="n"/>
      <c r="J41" s="19" t="n"/>
      <c r="K41" s="20">
        <f>IF(AND(I41&lt;&gt;"",J41&lt;&gt;""),J41-I41,"")</f>
        <v/>
      </c>
      <c r="L41" s="13" t="n"/>
      <c r="M41" s="13" t="n"/>
      <c r="N41" s="13" t="n"/>
      <c r="O41" s="13" t="n"/>
      <c r="P41" s="13" t="n"/>
      <c r="Q41" s="13" t="n"/>
      <c r="R41" s="13" t="n"/>
      <c r="S41" s="13" t="n"/>
      <c r="T41" s="13" t="n"/>
      <c r="U41" s="13" t="n"/>
      <c r="V41" s="13" t="n"/>
      <c r="W41" s="13" t="n"/>
      <c r="X41" s="21" t="n"/>
      <c r="Y41" s="22" t="n"/>
      <c r="Z41" s="13" t="n"/>
      <c r="AA41" s="13" t="n"/>
      <c r="AB41" s="13" t="n"/>
    </row>
    <row r="42" ht="22" customHeight="1">
      <c r="A42" s="14" t="n"/>
      <c r="B42" s="14" t="n"/>
      <c r="C42" s="14" t="n"/>
      <c r="D42" s="14" t="n"/>
      <c r="E42" s="14" t="n"/>
      <c r="F42" s="14" t="n"/>
      <c r="G42" s="14" t="n"/>
      <c r="H42" s="14" t="n"/>
      <c r="I42" s="23" t="n"/>
      <c r="J42" s="23" t="n"/>
      <c r="K42" s="24">
        <f>IF(AND(I42&lt;&gt;"",J42&lt;&gt;""),J42-I42,"")</f>
        <v/>
      </c>
      <c r="L42" s="14" t="n"/>
      <c r="M42" s="14" t="n"/>
      <c r="N42" s="14" t="n"/>
      <c r="O42" s="14" t="n"/>
      <c r="P42" s="14" t="n"/>
      <c r="Q42" s="14" t="n"/>
      <c r="R42" s="14" t="n"/>
      <c r="S42" s="14" t="n"/>
      <c r="T42" s="14" t="n"/>
      <c r="U42" s="14" t="n"/>
      <c r="V42" s="14" t="n"/>
      <c r="W42" s="14" t="n"/>
      <c r="X42" s="25" t="n"/>
      <c r="Y42" s="26" t="n"/>
      <c r="Z42" s="14" t="n"/>
      <c r="AA42" s="14" t="n"/>
      <c r="AB42" s="14" t="n"/>
    </row>
    <row r="43" ht="22" customHeight="1">
      <c r="A43" s="13" t="n"/>
      <c r="B43" s="13" t="n"/>
      <c r="C43" s="13" t="n"/>
      <c r="D43" s="13" t="n"/>
      <c r="E43" s="13" t="n"/>
      <c r="F43" s="13" t="n"/>
      <c r="G43" s="13" t="n"/>
      <c r="H43" s="13" t="n"/>
      <c r="I43" s="19" t="n"/>
      <c r="J43" s="19" t="n"/>
      <c r="K43" s="20">
        <f>IF(AND(I43&lt;&gt;"",J43&lt;&gt;""),J43-I43,"")</f>
        <v/>
      </c>
      <c r="L43" s="13" t="n"/>
      <c r="M43" s="13" t="n"/>
      <c r="N43" s="13" t="n"/>
      <c r="O43" s="13" t="n"/>
      <c r="P43" s="13" t="n"/>
      <c r="Q43" s="13" t="n"/>
      <c r="R43" s="13" t="n"/>
      <c r="S43" s="13" t="n"/>
      <c r="T43" s="13" t="n"/>
      <c r="U43" s="13" t="n"/>
      <c r="V43" s="13" t="n"/>
      <c r="W43" s="13" t="n"/>
      <c r="X43" s="21" t="n"/>
      <c r="Y43" s="22" t="n"/>
      <c r="Z43" s="13" t="n"/>
      <c r="AA43" s="13" t="n"/>
      <c r="AB43" s="13" t="n"/>
    </row>
    <row r="44" ht="22" customHeight="1">
      <c r="A44" s="14" t="n"/>
      <c r="B44" s="14" t="n"/>
      <c r="C44" s="14" t="n"/>
      <c r="D44" s="14" t="n"/>
      <c r="E44" s="14" t="n"/>
      <c r="F44" s="14" t="n"/>
      <c r="G44" s="14" t="n"/>
      <c r="H44" s="14" t="n"/>
      <c r="I44" s="23" t="n"/>
      <c r="J44" s="23" t="n"/>
      <c r="K44" s="24">
        <f>IF(AND(I44&lt;&gt;"",J44&lt;&gt;""),J44-I44,"")</f>
        <v/>
      </c>
      <c r="L44" s="14" t="n"/>
      <c r="M44" s="14" t="n"/>
      <c r="N44" s="14" t="n"/>
      <c r="O44" s="14" t="n"/>
      <c r="P44" s="14" t="n"/>
      <c r="Q44" s="14" t="n"/>
      <c r="R44" s="14" t="n"/>
      <c r="S44" s="14" t="n"/>
      <c r="T44" s="14" t="n"/>
      <c r="U44" s="14" t="n"/>
      <c r="V44" s="14" t="n"/>
      <c r="W44" s="14" t="n"/>
      <c r="X44" s="25" t="n"/>
      <c r="Y44" s="26" t="n"/>
      <c r="Z44" s="14" t="n"/>
      <c r="AA44" s="14" t="n"/>
      <c r="AB44" s="14" t="n"/>
    </row>
    <row r="45" ht="22" customHeight="1">
      <c r="A45" s="13" t="n"/>
      <c r="B45" s="13" t="n"/>
      <c r="C45" s="13" t="n"/>
      <c r="D45" s="13" t="n"/>
      <c r="E45" s="13" t="n"/>
      <c r="F45" s="13" t="n"/>
      <c r="G45" s="13" t="n"/>
      <c r="H45" s="13" t="n"/>
      <c r="I45" s="19" t="n"/>
      <c r="J45" s="19" t="n"/>
      <c r="K45" s="20">
        <f>IF(AND(I45&lt;&gt;"",J45&lt;&gt;""),J45-I45,"")</f>
        <v/>
      </c>
      <c r="L45" s="13" t="n"/>
      <c r="M45" s="13" t="n"/>
      <c r="N45" s="13" t="n"/>
      <c r="O45" s="13" t="n"/>
      <c r="P45" s="13" t="n"/>
      <c r="Q45" s="13" t="n"/>
      <c r="R45" s="13" t="n"/>
      <c r="S45" s="13" t="n"/>
      <c r="T45" s="13" t="n"/>
      <c r="U45" s="13" t="n"/>
      <c r="V45" s="13" t="n"/>
      <c r="W45" s="13" t="n"/>
      <c r="X45" s="21" t="n"/>
      <c r="Y45" s="22" t="n"/>
      <c r="Z45" s="13" t="n"/>
      <c r="AA45" s="13" t="n"/>
      <c r="AB45" s="13" t="n"/>
    </row>
    <row r="46" ht="22" customHeight="1">
      <c r="A46" s="14" t="n"/>
      <c r="B46" s="14" t="n"/>
      <c r="C46" s="14" t="n"/>
      <c r="D46" s="14" t="n"/>
      <c r="E46" s="14" t="n"/>
      <c r="F46" s="14" t="n"/>
      <c r="G46" s="14" t="n"/>
      <c r="H46" s="14" t="n"/>
      <c r="I46" s="23" t="n"/>
      <c r="J46" s="23" t="n"/>
      <c r="K46" s="24">
        <f>IF(AND(I46&lt;&gt;"",J46&lt;&gt;""),J46-I46,"")</f>
        <v/>
      </c>
      <c r="L46" s="14" t="n"/>
      <c r="M46" s="14" t="n"/>
      <c r="N46" s="14" t="n"/>
      <c r="O46" s="14" t="n"/>
      <c r="P46" s="14" t="n"/>
      <c r="Q46" s="14" t="n"/>
      <c r="R46" s="14" t="n"/>
      <c r="S46" s="14" t="n"/>
      <c r="T46" s="14" t="n"/>
      <c r="U46" s="14" t="n"/>
      <c r="V46" s="14" t="n"/>
      <c r="W46" s="14" t="n"/>
      <c r="X46" s="25" t="n"/>
      <c r="Y46" s="26" t="n"/>
      <c r="Z46" s="14" t="n"/>
      <c r="AA46" s="14" t="n"/>
      <c r="AB46" s="14" t="n"/>
    </row>
    <row r="47" ht="22" customHeight="1">
      <c r="A47" s="13" t="n"/>
      <c r="B47" s="13" t="n"/>
      <c r="C47" s="13" t="n"/>
      <c r="D47" s="13" t="n"/>
      <c r="E47" s="13" t="n"/>
      <c r="F47" s="13" t="n"/>
      <c r="G47" s="13" t="n"/>
      <c r="H47" s="13" t="n"/>
      <c r="I47" s="19" t="n"/>
      <c r="J47" s="19" t="n"/>
      <c r="K47" s="20">
        <f>IF(AND(I47&lt;&gt;"",J47&lt;&gt;""),J47-I47,"")</f>
        <v/>
      </c>
      <c r="L47" s="13" t="n"/>
      <c r="M47" s="13" t="n"/>
      <c r="N47" s="13" t="n"/>
      <c r="O47" s="13" t="n"/>
      <c r="P47" s="13" t="n"/>
      <c r="Q47" s="13" t="n"/>
      <c r="R47" s="13" t="n"/>
      <c r="S47" s="13" t="n"/>
      <c r="T47" s="13" t="n"/>
      <c r="U47" s="13" t="n"/>
      <c r="V47" s="13" t="n"/>
      <c r="W47" s="13" t="n"/>
      <c r="X47" s="21" t="n"/>
      <c r="Y47" s="22" t="n"/>
      <c r="Z47" s="13" t="n"/>
      <c r="AA47" s="13" t="n"/>
      <c r="AB47" s="13" t="n"/>
    </row>
    <row r="48" ht="22" customHeight="1">
      <c r="A48" s="14" t="n"/>
      <c r="B48" s="14" t="n"/>
      <c r="C48" s="14" t="n"/>
      <c r="D48" s="14" t="n"/>
      <c r="E48" s="14" t="n"/>
      <c r="F48" s="14" t="n"/>
      <c r="G48" s="14" t="n"/>
      <c r="H48" s="14" t="n"/>
      <c r="I48" s="23" t="n"/>
      <c r="J48" s="23" t="n"/>
      <c r="K48" s="24">
        <f>IF(AND(I48&lt;&gt;"",J48&lt;&gt;""),J48-I48,"")</f>
        <v/>
      </c>
      <c r="L48" s="14" t="n"/>
      <c r="M48" s="14" t="n"/>
      <c r="N48" s="14" t="n"/>
      <c r="O48" s="14" t="n"/>
      <c r="P48" s="14" t="n"/>
      <c r="Q48" s="14" t="n"/>
      <c r="R48" s="14" t="n"/>
      <c r="S48" s="14" t="n"/>
      <c r="T48" s="14" t="n"/>
      <c r="U48" s="14" t="n"/>
      <c r="V48" s="14" t="n"/>
      <c r="W48" s="14" t="n"/>
      <c r="X48" s="25" t="n"/>
      <c r="Y48" s="26" t="n"/>
      <c r="Z48" s="14" t="n"/>
      <c r="AA48" s="14" t="n"/>
      <c r="AB48" s="14" t="n"/>
    </row>
    <row r="49" ht="22" customHeight="1">
      <c r="A49" s="13" t="n"/>
      <c r="B49" s="13" t="n"/>
      <c r="C49" s="13" t="n"/>
      <c r="D49" s="13" t="n"/>
      <c r="E49" s="13" t="n"/>
      <c r="F49" s="13" t="n"/>
      <c r="G49" s="13" t="n"/>
      <c r="H49" s="13" t="n"/>
      <c r="I49" s="19" t="n"/>
      <c r="J49" s="19" t="n"/>
      <c r="K49" s="20">
        <f>IF(AND(I49&lt;&gt;"",J49&lt;&gt;""),J49-I49,"")</f>
        <v/>
      </c>
      <c r="L49" s="13" t="n"/>
      <c r="M49" s="13" t="n"/>
      <c r="N49" s="13" t="n"/>
      <c r="O49" s="13" t="n"/>
      <c r="P49" s="13" t="n"/>
      <c r="Q49" s="13" t="n"/>
      <c r="R49" s="13" t="n"/>
      <c r="S49" s="13" t="n"/>
      <c r="T49" s="13" t="n"/>
      <c r="U49" s="13" t="n"/>
      <c r="V49" s="13" t="n"/>
      <c r="W49" s="13" t="n"/>
      <c r="X49" s="21" t="n"/>
      <c r="Y49" s="22" t="n"/>
      <c r="Z49" s="13" t="n"/>
      <c r="AA49" s="13" t="n"/>
      <c r="AB49" s="13" t="n"/>
    </row>
    <row r="50" ht="22" customHeight="1">
      <c r="A50" s="14" t="n"/>
      <c r="B50" s="14" t="n"/>
      <c r="C50" s="14" t="n"/>
      <c r="D50" s="14" t="n"/>
      <c r="E50" s="14" t="n"/>
      <c r="F50" s="14" t="n"/>
      <c r="G50" s="14" t="n"/>
      <c r="H50" s="14" t="n"/>
      <c r="I50" s="23" t="n"/>
      <c r="J50" s="23" t="n"/>
      <c r="K50" s="24">
        <f>IF(AND(I50&lt;&gt;"",J50&lt;&gt;""),J50-I50,"")</f>
        <v/>
      </c>
      <c r="L50" s="14" t="n"/>
      <c r="M50" s="14" t="n"/>
      <c r="N50" s="14" t="n"/>
      <c r="O50" s="14" t="n"/>
      <c r="P50" s="14" t="n"/>
      <c r="Q50" s="14" t="n"/>
      <c r="R50" s="14" t="n"/>
      <c r="S50" s="14" t="n"/>
      <c r="T50" s="14" t="n"/>
      <c r="U50" s="14" t="n"/>
      <c r="V50" s="14" t="n"/>
      <c r="W50" s="14" t="n"/>
      <c r="X50" s="25" t="n"/>
      <c r="Y50" s="26" t="n"/>
      <c r="Z50" s="14" t="n"/>
      <c r="AA50" s="14" t="n"/>
      <c r="AB50" s="14" t="n"/>
    </row>
    <row r="51" ht="22" customHeight="1">
      <c r="A51" s="13" t="n"/>
      <c r="B51" s="13" t="n"/>
      <c r="C51" s="13" t="n"/>
      <c r="D51" s="13" t="n"/>
      <c r="E51" s="13" t="n"/>
      <c r="F51" s="13" t="n"/>
      <c r="G51" s="13" t="n"/>
      <c r="H51" s="13" t="n"/>
      <c r="I51" s="19" t="n"/>
      <c r="J51" s="19" t="n"/>
      <c r="K51" s="20">
        <f>IF(AND(I51&lt;&gt;"",J51&lt;&gt;""),J51-I51,"")</f>
        <v/>
      </c>
      <c r="L51" s="13" t="n"/>
      <c r="M51" s="13" t="n"/>
      <c r="N51" s="13" t="n"/>
      <c r="O51" s="13" t="n"/>
      <c r="P51" s="13" t="n"/>
      <c r="Q51" s="13" t="n"/>
      <c r="R51" s="13" t="n"/>
      <c r="S51" s="13" t="n"/>
      <c r="T51" s="13" t="n"/>
      <c r="U51" s="13" t="n"/>
      <c r="V51" s="13" t="n"/>
      <c r="W51" s="13" t="n"/>
      <c r="X51" s="21" t="n"/>
      <c r="Y51" s="22" t="n"/>
      <c r="Z51" s="13" t="n"/>
      <c r="AA51" s="13" t="n"/>
      <c r="AB51" s="13" t="n"/>
    </row>
    <row r="52" ht="22" customHeight="1">
      <c r="A52" s="14" t="n"/>
      <c r="B52" s="14" t="n"/>
      <c r="C52" s="14" t="n"/>
      <c r="D52" s="14" t="n"/>
      <c r="E52" s="14" t="n"/>
      <c r="F52" s="14" t="n"/>
      <c r="G52" s="14" t="n"/>
      <c r="H52" s="14" t="n"/>
      <c r="I52" s="23" t="n"/>
      <c r="J52" s="23" t="n"/>
      <c r="K52" s="24">
        <f>IF(AND(I52&lt;&gt;"",J52&lt;&gt;""),J52-I52,"")</f>
        <v/>
      </c>
      <c r="L52" s="14" t="n"/>
      <c r="M52" s="14" t="n"/>
      <c r="N52" s="14" t="n"/>
      <c r="O52" s="14" t="n"/>
      <c r="P52" s="14" t="n"/>
      <c r="Q52" s="14" t="n"/>
      <c r="R52" s="14" t="n"/>
      <c r="S52" s="14" t="n"/>
      <c r="T52" s="14" t="n"/>
      <c r="U52" s="14" t="n"/>
      <c r="V52" s="14" t="n"/>
      <c r="W52" s="14" t="n"/>
      <c r="X52" s="25" t="n"/>
      <c r="Y52" s="26" t="n"/>
      <c r="Z52" s="14" t="n"/>
      <c r="AA52" s="14" t="n"/>
      <c r="AB52" s="14" t="n"/>
    </row>
    <row r="53" ht="22" customHeight="1">
      <c r="A53" s="13" t="n"/>
      <c r="B53" s="13" t="n"/>
      <c r="C53" s="13" t="n"/>
      <c r="D53" s="13" t="n"/>
      <c r="E53" s="13" t="n"/>
      <c r="F53" s="13" t="n"/>
      <c r="G53" s="13" t="n"/>
      <c r="H53" s="13" t="n"/>
      <c r="I53" s="19" t="n"/>
      <c r="J53" s="19" t="n"/>
      <c r="K53" s="20">
        <f>IF(AND(I53&lt;&gt;"",J53&lt;&gt;""),J53-I53,"")</f>
        <v/>
      </c>
      <c r="L53" s="13" t="n"/>
      <c r="M53" s="13" t="n"/>
      <c r="N53" s="13" t="n"/>
      <c r="O53" s="13" t="n"/>
      <c r="P53" s="13" t="n"/>
      <c r="Q53" s="13" t="n"/>
      <c r="R53" s="13" t="n"/>
      <c r="S53" s="13" t="n"/>
      <c r="T53" s="13" t="n"/>
      <c r="U53" s="13" t="n"/>
      <c r="V53" s="13" t="n"/>
      <c r="W53" s="13" t="n"/>
      <c r="X53" s="21" t="n"/>
      <c r="Y53" s="22" t="n"/>
      <c r="Z53" s="13" t="n"/>
      <c r="AA53" s="13" t="n"/>
      <c r="AB53" s="13" t="n"/>
    </row>
    <row r="54" ht="22" customHeight="1">
      <c r="A54" s="14" t="n"/>
      <c r="B54" s="14" t="n"/>
      <c r="C54" s="14" t="n"/>
      <c r="D54" s="14" t="n"/>
      <c r="E54" s="14" t="n"/>
      <c r="F54" s="14" t="n"/>
      <c r="G54" s="14" t="n"/>
      <c r="H54" s="14" t="n"/>
      <c r="I54" s="23" t="n"/>
      <c r="J54" s="23" t="n"/>
      <c r="K54" s="24">
        <f>IF(AND(I54&lt;&gt;"",J54&lt;&gt;""),J54-I54,"")</f>
        <v/>
      </c>
      <c r="L54" s="14" t="n"/>
      <c r="M54" s="14" t="n"/>
      <c r="N54" s="14" t="n"/>
      <c r="O54" s="14" t="n"/>
      <c r="P54" s="14" t="n"/>
      <c r="Q54" s="14" t="n"/>
      <c r="R54" s="14" t="n"/>
      <c r="S54" s="14" t="n"/>
      <c r="T54" s="14" t="n"/>
      <c r="U54" s="14" t="n"/>
      <c r="V54" s="14" t="n"/>
      <c r="W54" s="14" t="n"/>
      <c r="X54" s="25" t="n"/>
      <c r="Y54" s="26" t="n"/>
      <c r="Z54" s="14" t="n"/>
      <c r="AA54" s="14" t="n"/>
      <c r="AB54" s="14" t="n"/>
    </row>
    <row r="55" ht="22" customHeight="1">
      <c r="A55" s="13" t="n"/>
      <c r="B55" s="13" t="n"/>
      <c r="C55" s="13" t="n"/>
      <c r="D55" s="13" t="n"/>
      <c r="E55" s="13" t="n"/>
      <c r="F55" s="13" t="n"/>
      <c r="G55" s="13" t="n"/>
      <c r="H55" s="13" t="n"/>
      <c r="I55" s="19" t="n"/>
      <c r="J55" s="19" t="n"/>
      <c r="K55" s="20">
        <f>IF(AND(I55&lt;&gt;"",J55&lt;&gt;""),J55-I55,"")</f>
        <v/>
      </c>
      <c r="L55" s="13" t="n"/>
      <c r="M55" s="13" t="n"/>
      <c r="N55" s="13" t="n"/>
      <c r="O55" s="13" t="n"/>
      <c r="P55" s="13" t="n"/>
      <c r="Q55" s="13" t="n"/>
      <c r="R55" s="13" t="n"/>
      <c r="S55" s="13" t="n"/>
      <c r="T55" s="13" t="n"/>
      <c r="U55" s="13" t="n"/>
      <c r="V55" s="13" t="n"/>
      <c r="W55" s="13" t="n"/>
      <c r="X55" s="21" t="n"/>
      <c r="Y55" s="22" t="n"/>
      <c r="Z55" s="13" t="n"/>
      <c r="AA55" s="13" t="n"/>
      <c r="AB55" s="13" t="n"/>
    </row>
    <row r="56" ht="22" customHeight="1">
      <c r="A56" s="14" t="n"/>
      <c r="B56" s="14" t="n"/>
      <c r="C56" s="14" t="n"/>
      <c r="D56" s="14" t="n"/>
      <c r="E56" s="14" t="n"/>
      <c r="F56" s="14" t="n"/>
      <c r="G56" s="14" t="n"/>
      <c r="H56" s="14" t="n"/>
      <c r="I56" s="23" t="n"/>
      <c r="J56" s="23" t="n"/>
      <c r="K56" s="24">
        <f>IF(AND(I56&lt;&gt;"",J56&lt;&gt;""),J56-I56,"")</f>
        <v/>
      </c>
      <c r="L56" s="14" t="n"/>
      <c r="M56" s="14" t="n"/>
      <c r="N56" s="14" t="n"/>
      <c r="O56" s="14" t="n"/>
      <c r="P56" s="14" t="n"/>
      <c r="Q56" s="14" t="n"/>
      <c r="R56" s="14" t="n"/>
      <c r="S56" s="14" t="n"/>
      <c r="T56" s="14" t="n"/>
      <c r="U56" s="14" t="n"/>
      <c r="V56" s="14" t="n"/>
      <c r="W56" s="14" t="n"/>
      <c r="X56" s="25" t="n"/>
      <c r="Y56" s="26" t="n"/>
      <c r="Z56" s="14" t="n"/>
      <c r="AA56" s="14" t="n"/>
      <c r="AB56" s="14" t="n"/>
    </row>
    <row r="57" ht="22" customHeight="1">
      <c r="A57" s="13" t="n"/>
      <c r="B57" s="13" t="n"/>
      <c r="C57" s="13" t="n"/>
      <c r="D57" s="13" t="n"/>
      <c r="E57" s="13" t="n"/>
      <c r="F57" s="13" t="n"/>
      <c r="G57" s="13" t="n"/>
      <c r="H57" s="13" t="n"/>
      <c r="I57" s="19" t="n"/>
      <c r="J57" s="19" t="n"/>
      <c r="K57" s="20">
        <f>IF(AND(I57&lt;&gt;"",J57&lt;&gt;""),J57-I57,"")</f>
        <v/>
      </c>
      <c r="L57" s="13" t="n"/>
      <c r="M57" s="13" t="n"/>
      <c r="N57" s="13" t="n"/>
      <c r="O57" s="13" t="n"/>
      <c r="P57" s="13" t="n"/>
      <c r="Q57" s="13" t="n"/>
      <c r="R57" s="13" t="n"/>
      <c r="S57" s="13" t="n"/>
      <c r="T57" s="13" t="n"/>
      <c r="U57" s="13" t="n"/>
      <c r="V57" s="13" t="n"/>
      <c r="W57" s="13" t="n"/>
      <c r="X57" s="21" t="n"/>
      <c r="Y57" s="22" t="n"/>
      <c r="Z57" s="13" t="n"/>
      <c r="AA57" s="13" t="n"/>
      <c r="AB57" s="13" t="n"/>
    </row>
    <row r="58" ht="22" customHeight="1">
      <c r="A58" s="14" t="n"/>
      <c r="B58" s="14" t="n"/>
      <c r="C58" s="14" t="n"/>
      <c r="D58" s="14" t="n"/>
      <c r="E58" s="14" t="n"/>
      <c r="F58" s="14" t="n"/>
      <c r="G58" s="14" t="n"/>
      <c r="H58" s="14" t="n"/>
      <c r="I58" s="23" t="n"/>
      <c r="J58" s="23" t="n"/>
      <c r="K58" s="24">
        <f>IF(AND(I58&lt;&gt;"",J58&lt;&gt;""),J58-I58,"")</f>
        <v/>
      </c>
      <c r="L58" s="14" t="n"/>
      <c r="M58" s="14" t="n"/>
      <c r="N58" s="14" t="n"/>
      <c r="O58" s="14" t="n"/>
      <c r="P58" s="14" t="n"/>
      <c r="Q58" s="14" t="n"/>
      <c r="R58" s="14" t="n"/>
      <c r="S58" s="14" t="n"/>
      <c r="T58" s="14" t="n"/>
      <c r="U58" s="14" t="n"/>
      <c r="V58" s="14" t="n"/>
      <c r="W58" s="14" t="n"/>
      <c r="X58" s="25" t="n"/>
      <c r="Y58" s="26" t="n"/>
      <c r="Z58" s="14" t="n"/>
      <c r="AA58" s="14" t="n"/>
      <c r="AB58" s="14" t="n"/>
    </row>
    <row r="59" ht="22" customHeight="1">
      <c r="A59" s="13" t="n"/>
      <c r="B59" s="13" t="n"/>
      <c r="C59" s="13" t="n"/>
      <c r="D59" s="13" t="n"/>
      <c r="E59" s="13" t="n"/>
      <c r="F59" s="13" t="n"/>
      <c r="G59" s="13" t="n"/>
      <c r="H59" s="13" t="n"/>
      <c r="I59" s="19" t="n"/>
      <c r="J59" s="19" t="n"/>
      <c r="K59" s="20">
        <f>IF(AND(I59&lt;&gt;"",J59&lt;&gt;""),J59-I59,"")</f>
        <v/>
      </c>
      <c r="L59" s="13" t="n"/>
      <c r="M59" s="13" t="n"/>
      <c r="N59" s="13" t="n"/>
      <c r="O59" s="13" t="n"/>
      <c r="P59" s="13" t="n"/>
      <c r="Q59" s="13" t="n"/>
      <c r="R59" s="13" t="n"/>
      <c r="S59" s="13" t="n"/>
      <c r="T59" s="13" t="n"/>
      <c r="U59" s="13" t="n"/>
      <c r="V59" s="13" t="n"/>
      <c r="W59" s="13" t="n"/>
      <c r="X59" s="21" t="n"/>
      <c r="Y59" s="22" t="n"/>
      <c r="Z59" s="13" t="n"/>
      <c r="AA59" s="13" t="n"/>
      <c r="AB59" s="13" t="n"/>
    </row>
    <row r="60" ht="22" customHeight="1">
      <c r="A60" s="14" t="n"/>
      <c r="B60" s="14" t="n"/>
      <c r="C60" s="14" t="n"/>
      <c r="D60" s="14" t="n"/>
      <c r="E60" s="14" t="n"/>
      <c r="F60" s="14" t="n"/>
      <c r="G60" s="14" t="n"/>
      <c r="H60" s="14" t="n"/>
      <c r="I60" s="23" t="n"/>
      <c r="J60" s="23" t="n"/>
      <c r="K60" s="24">
        <f>IF(AND(I60&lt;&gt;"",J60&lt;&gt;""),J60-I60,"")</f>
        <v/>
      </c>
      <c r="L60" s="14" t="n"/>
      <c r="M60" s="14" t="n"/>
      <c r="N60" s="14" t="n"/>
      <c r="O60" s="14" t="n"/>
      <c r="P60" s="14" t="n"/>
      <c r="Q60" s="14" t="n"/>
      <c r="R60" s="14" t="n"/>
      <c r="S60" s="14" t="n"/>
      <c r="T60" s="14" t="n"/>
      <c r="U60" s="14" t="n"/>
      <c r="V60" s="14" t="n"/>
      <c r="W60" s="14" t="n"/>
      <c r="X60" s="25" t="n"/>
      <c r="Y60" s="26" t="n"/>
      <c r="Z60" s="14" t="n"/>
      <c r="AA60" s="14" t="n"/>
      <c r="AB60" s="14" t="n"/>
    </row>
    <row r="61" ht="22" customHeight="1">
      <c r="A61" s="13" t="n"/>
      <c r="B61" s="13" t="n"/>
      <c r="C61" s="13" t="n"/>
      <c r="D61" s="13" t="n"/>
      <c r="E61" s="13" t="n"/>
      <c r="F61" s="13" t="n"/>
      <c r="G61" s="13" t="n"/>
      <c r="H61" s="13" t="n"/>
      <c r="I61" s="19" t="n"/>
      <c r="J61" s="19" t="n"/>
      <c r="K61" s="20">
        <f>IF(AND(I61&lt;&gt;"",J61&lt;&gt;""),J61-I61,"")</f>
        <v/>
      </c>
      <c r="L61" s="13" t="n"/>
      <c r="M61" s="13" t="n"/>
      <c r="N61" s="13" t="n"/>
      <c r="O61" s="13" t="n"/>
      <c r="P61" s="13" t="n"/>
      <c r="Q61" s="13" t="n"/>
      <c r="R61" s="13" t="n"/>
      <c r="S61" s="13" t="n"/>
      <c r="T61" s="13" t="n"/>
      <c r="U61" s="13" t="n"/>
      <c r="V61" s="13" t="n"/>
      <c r="W61" s="13" t="n"/>
      <c r="X61" s="21" t="n"/>
      <c r="Y61" s="22" t="n"/>
      <c r="Z61" s="13" t="n"/>
      <c r="AA61" s="13" t="n"/>
      <c r="AB61" s="13" t="n"/>
    </row>
    <row r="62" ht="22" customHeight="1">
      <c r="A62" s="14" t="n"/>
      <c r="B62" s="14" t="n"/>
      <c r="C62" s="14" t="n"/>
      <c r="D62" s="14" t="n"/>
      <c r="E62" s="14" t="n"/>
      <c r="F62" s="14" t="n"/>
      <c r="G62" s="14" t="n"/>
      <c r="H62" s="14" t="n"/>
      <c r="I62" s="23" t="n"/>
      <c r="J62" s="23" t="n"/>
      <c r="K62" s="24">
        <f>IF(AND(I62&lt;&gt;"",J62&lt;&gt;""),J62-I62,"")</f>
        <v/>
      </c>
      <c r="L62" s="14" t="n"/>
      <c r="M62" s="14" t="n"/>
      <c r="N62" s="14" t="n"/>
      <c r="O62" s="14" t="n"/>
      <c r="P62" s="14" t="n"/>
      <c r="Q62" s="14" t="n"/>
      <c r="R62" s="14" t="n"/>
      <c r="S62" s="14" t="n"/>
      <c r="T62" s="14" t="n"/>
      <c r="U62" s="14" t="n"/>
      <c r="V62" s="14" t="n"/>
      <c r="W62" s="14" t="n"/>
      <c r="X62" s="25" t="n"/>
      <c r="Y62" s="26" t="n"/>
      <c r="Z62" s="14" t="n"/>
      <c r="AA62" s="14" t="n"/>
      <c r="AB62" s="14" t="n"/>
    </row>
    <row r="63" ht="22" customHeight="1">
      <c r="A63" s="13" t="n"/>
      <c r="B63" s="13" t="n"/>
      <c r="C63" s="13" t="n"/>
      <c r="D63" s="13" t="n"/>
      <c r="E63" s="13" t="n"/>
      <c r="F63" s="13" t="n"/>
      <c r="G63" s="13" t="n"/>
      <c r="H63" s="13" t="n"/>
      <c r="I63" s="19" t="n"/>
      <c r="J63" s="19" t="n"/>
      <c r="K63" s="20">
        <f>IF(AND(I63&lt;&gt;"",J63&lt;&gt;""),J63-I63,"")</f>
        <v/>
      </c>
      <c r="L63" s="13" t="n"/>
      <c r="M63" s="13" t="n"/>
      <c r="N63" s="13" t="n"/>
      <c r="O63" s="13" t="n"/>
      <c r="P63" s="13" t="n"/>
      <c r="Q63" s="13" t="n"/>
      <c r="R63" s="13" t="n"/>
      <c r="S63" s="13" t="n"/>
      <c r="T63" s="13" t="n"/>
      <c r="U63" s="13" t="n"/>
      <c r="V63" s="13" t="n"/>
      <c r="W63" s="13" t="n"/>
      <c r="X63" s="21" t="n"/>
      <c r="Y63" s="22" t="n"/>
      <c r="Z63" s="13" t="n"/>
      <c r="AA63" s="13" t="n"/>
      <c r="AB63" s="13" t="n"/>
    </row>
    <row r="64" ht="22" customHeight="1">
      <c r="A64" s="14" t="n"/>
      <c r="B64" s="14" t="n"/>
      <c r="C64" s="14" t="n"/>
      <c r="D64" s="14" t="n"/>
      <c r="E64" s="14" t="n"/>
      <c r="F64" s="14" t="n"/>
      <c r="G64" s="14" t="n"/>
      <c r="H64" s="14" t="n"/>
      <c r="I64" s="23" t="n"/>
      <c r="J64" s="23" t="n"/>
      <c r="K64" s="24">
        <f>IF(AND(I64&lt;&gt;"",J64&lt;&gt;""),J64-I64,"")</f>
        <v/>
      </c>
      <c r="L64" s="14" t="n"/>
      <c r="M64" s="14" t="n"/>
      <c r="N64" s="14" t="n"/>
      <c r="O64" s="14" t="n"/>
      <c r="P64" s="14" t="n"/>
      <c r="Q64" s="14" t="n"/>
      <c r="R64" s="14" t="n"/>
      <c r="S64" s="14" t="n"/>
      <c r="T64" s="14" t="n"/>
      <c r="U64" s="14" t="n"/>
      <c r="V64" s="14" t="n"/>
      <c r="W64" s="14" t="n"/>
      <c r="X64" s="25" t="n"/>
      <c r="Y64" s="26" t="n"/>
      <c r="Z64" s="14" t="n"/>
      <c r="AA64" s="14" t="n"/>
      <c r="AB64" s="14" t="n"/>
    </row>
    <row r="65" ht="22" customHeight="1">
      <c r="A65" s="13" t="n"/>
      <c r="B65" s="13" t="n"/>
      <c r="C65" s="13" t="n"/>
      <c r="D65" s="13" t="n"/>
      <c r="E65" s="13" t="n"/>
      <c r="F65" s="13" t="n"/>
      <c r="G65" s="13" t="n"/>
      <c r="H65" s="13" t="n"/>
      <c r="I65" s="19" t="n"/>
      <c r="J65" s="19" t="n"/>
      <c r="K65" s="20">
        <f>IF(AND(I65&lt;&gt;"",J65&lt;&gt;""),J65-I65,"")</f>
        <v/>
      </c>
      <c r="L65" s="13" t="n"/>
      <c r="M65" s="13" t="n"/>
      <c r="N65" s="13" t="n"/>
      <c r="O65" s="13" t="n"/>
      <c r="P65" s="13" t="n"/>
      <c r="Q65" s="13" t="n"/>
      <c r="R65" s="13" t="n"/>
      <c r="S65" s="13" t="n"/>
      <c r="T65" s="13" t="n"/>
      <c r="U65" s="13" t="n"/>
      <c r="V65" s="13" t="n"/>
      <c r="W65" s="13" t="n"/>
      <c r="X65" s="21" t="n"/>
      <c r="Y65" s="22" t="n"/>
      <c r="Z65" s="13" t="n"/>
      <c r="AA65" s="13" t="n"/>
      <c r="AB65" s="13" t="n"/>
    </row>
    <row r="66" ht="22" customHeight="1">
      <c r="A66" s="14" t="n"/>
      <c r="B66" s="14" t="n"/>
      <c r="C66" s="14" t="n"/>
      <c r="D66" s="14" t="n"/>
      <c r="E66" s="14" t="n"/>
      <c r="F66" s="14" t="n"/>
      <c r="G66" s="14" t="n"/>
      <c r="H66" s="14" t="n"/>
      <c r="I66" s="23" t="n"/>
      <c r="J66" s="23" t="n"/>
      <c r="K66" s="24">
        <f>IF(AND(I66&lt;&gt;"",J66&lt;&gt;""),J66-I66,"")</f>
        <v/>
      </c>
      <c r="L66" s="14" t="n"/>
      <c r="M66" s="14" t="n"/>
      <c r="N66" s="14" t="n"/>
      <c r="O66" s="14" t="n"/>
      <c r="P66" s="14" t="n"/>
      <c r="Q66" s="14" t="n"/>
      <c r="R66" s="14" t="n"/>
      <c r="S66" s="14" t="n"/>
      <c r="T66" s="14" t="n"/>
      <c r="U66" s="14" t="n"/>
      <c r="V66" s="14" t="n"/>
      <c r="W66" s="14" t="n"/>
      <c r="X66" s="25" t="n"/>
      <c r="Y66" s="26" t="n"/>
      <c r="Z66" s="14" t="n"/>
      <c r="AA66" s="14" t="n"/>
      <c r="AB66" s="14" t="n"/>
    </row>
    <row r="67" ht="22" customHeight="1">
      <c r="A67" s="13" t="n"/>
      <c r="B67" s="13" t="n"/>
      <c r="C67" s="13" t="n"/>
      <c r="D67" s="13" t="n"/>
      <c r="E67" s="13" t="n"/>
      <c r="F67" s="13" t="n"/>
      <c r="G67" s="13" t="n"/>
      <c r="H67" s="13" t="n"/>
      <c r="I67" s="19" t="n"/>
      <c r="J67" s="19" t="n"/>
      <c r="K67" s="20">
        <f>IF(AND(I67&lt;&gt;"",J67&lt;&gt;""),J67-I67,"")</f>
        <v/>
      </c>
      <c r="L67" s="13" t="n"/>
      <c r="M67" s="13" t="n"/>
      <c r="N67" s="13" t="n"/>
      <c r="O67" s="13" t="n"/>
      <c r="P67" s="13" t="n"/>
      <c r="Q67" s="13" t="n"/>
      <c r="R67" s="13" t="n"/>
      <c r="S67" s="13" t="n"/>
      <c r="T67" s="13" t="n"/>
      <c r="U67" s="13" t="n"/>
      <c r="V67" s="13" t="n"/>
      <c r="W67" s="13" t="n"/>
      <c r="X67" s="21" t="n"/>
      <c r="Y67" s="22" t="n"/>
      <c r="Z67" s="13" t="n"/>
      <c r="AA67" s="13" t="n"/>
      <c r="AB67" s="13" t="n"/>
    </row>
    <row r="68" ht="22" customHeight="1">
      <c r="A68" s="14" t="n"/>
      <c r="B68" s="14" t="n"/>
      <c r="C68" s="14" t="n"/>
      <c r="D68" s="14" t="n"/>
      <c r="E68" s="14" t="n"/>
      <c r="F68" s="14" t="n"/>
      <c r="G68" s="14" t="n"/>
      <c r="H68" s="14" t="n"/>
      <c r="I68" s="23" t="n"/>
      <c r="J68" s="23" t="n"/>
      <c r="K68" s="24">
        <f>IF(AND(I68&lt;&gt;"",J68&lt;&gt;""),J68-I68,"")</f>
        <v/>
      </c>
      <c r="L68" s="14" t="n"/>
      <c r="M68" s="14" t="n"/>
      <c r="N68" s="14" t="n"/>
      <c r="O68" s="14" t="n"/>
      <c r="P68" s="14" t="n"/>
      <c r="Q68" s="14" t="n"/>
      <c r="R68" s="14" t="n"/>
      <c r="S68" s="14" t="n"/>
      <c r="T68" s="14" t="n"/>
      <c r="U68" s="14" t="n"/>
      <c r="V68" s="14" t="n"/>
      <c r="W68" s="14" t="n"/>
      <c r="X68" s="25" t="n"/>
      <c r="Y68" s="26" t="n"/>
      <c r="Z68" s="14" t="n"/>
      <c r="AA68" s="14" t="n"/>
      <c r="AB68" s="14" t="n"/>
    </row>
    <row r="69" ht="22" customHeight="1">
      <c r="A69" s="13" t="n"/>
      <c r="B69" s="13" t="n"/>
      <c r="C69" s="13" t="n"/>
      <c r="D69" s="13" t="n"/>
      <c r="E69" s="13" t="n"/>
      <c r="F69" s="13" t="n"/>
      <c r="G69" s="13" t="n"/>
      <c r="H69" s="13" t="n"/>
      <c r="I69" s="19" t="n"/>
      <c r="J69" s="19" t="n"/>
      <c r="K69" s="20">
        <f>IF(AND(I69&lt;&gt;"",J69&lt;&gt;""),J69-I69,"")</f>
        <v/>
      </c>
      <c r="L69" s="13" t="n"/>
      <c r="M69" s="13" t="n"/>
      <c r="N69" s="13" t="n"/>
      <c r="O69" s="13" t="n"/>
      <c r="P69" s="13" t="n"/>
      <c r="Q69" s="13" t="n"/>
      <c r="R69" s="13" t="n"/>
      <c r="S69" s="13" t="n"/>
      <c r="T69" s="13" t="n"/>
      <c r="U69" s="13" t="n"/>
      <c r="V69" s="13" t="n"/>
      <c r="W69" s="13" t="n"/>
      <c r="X69" s="21" t="n"/>
      <c r="Y69" s="22" t="n"/>
      <c r="Z69" s="13" t="n"/>
      <c r="AA69" s="13" t="n"/>
      <c r="AB69" s="13" t="n"/>
    </row>
    <row r="70" ht="22" customHeight="1">
      <c r="A70" s="14" t="n"/>
      <c r="B70" s="14" t="n"/>
      <c r="C70" s="14" t="n"/>
      <c r="D70" s="14" t="n"/>
      <c r="E70" s="14" t="n"/>
      <c r="F70" s="14" t="n"/>
      <c r="G70" s="14" t="n"/>
      <c r="H70" s="14" t="n"/>
      <c r="I70" s="23" t="n"/>
      <c r="J70" s="23" t="n"/>
      <c r="K70" s="24">
        <f>IF(AND(I70&lt;&gt;"",J70&lt;&gt;""),J70-I70,"")</f>
        <v/>
      </c>
      <c r="L70" s="14" t="n"/>
      <c r="M70" s="14" t="n"/>
      <c r="N70" s="14" t="n"/>
      <c r="O70" s="14" t="n"/>
      <c r="P70" s="14" t="n"/>
      <c r="Q70" s="14" t="n"/>
      <c r="R70" s="14" t="n"/>
      <c r="S70" s="14" t="n"/>
      <c r="T70" s="14" t="n"/>
      <c r="U70" s="14" t="n"/>
      <c r="V70" s="14" t="n"/>
      <c r="W70" s="14" t="n"/>
      <c r="X70" s="25" t="n"/>
      <c r="Y70" s="26" t="n"/>
      <c r="Z70" s="14" t="n"/>
      <c r="AA70" s="14" t="n"/>
      <c r="AB70" s="14" t="n"/>
    </row>
    <row r="71" ht="22" customHeight="1">
      <c r="A71" s="13" t="n"/>
      <c r="B71" s="13" t="n"/>
      <c r="C71" s="13" t="n"/>
      <c r="D71" s="13" t="n"/>
      <c r="E71" s="13" t="n"/>
      <c r="F71" s="13" t="n"/>
      <c r="G71" s="13" t="n"/>
      <c r="H71" s="13" t="n"/>
      <c r="I71" s="19" t="n"/>
      <c r="J71" s="19" t="n"/>
      <c r="K71" s="20">
        <f>IF(AND(I71&lt;&gt;"",J71&lt;&gt;""),J71-I71,"")</f>
        <v/>
      </c>
      <c r="L71" s="13" t="n"/>
      <c r="M71" s="13" t="n"/>
      <c r="N71" s="13" t="n"/>
      <c r="O71" s="13" t="n"/>
      <c r="P71" s="13" t="n"/>
      <c r="Q71" s="13" t="n"/>
      <c r="R71" s="13" t="n"/>
      <c r="S71" s="13" t="n"/>
      <c r="T71" s="13" t="n"/>
      <c r="U71" s="13" t="n"/>
      <c r="V71" s="13" t="n"/>
      <c r="W71" s="13" t="n"/>
      <c r="X71" s="21" t="n"/>
      <c r="Y71" s="22" t="n"/>
      <c r="Z71" s="13" t="n"/>
      <c r="AA71" s="13" t="n"/>
      <c r="AB71" s="13" t="n"/>
    </row>
    <row r="72" ht="22" customHeight="1">
      <c r="A72" s="14" t="n"/>
      <c r="B72" s="14" t="n"/>
      <c r="C72" s="14" t="n"/>
      <c r="D72" s="14" t="n"/>
      <c r="E72" s="14" t="n"/>
      <c r="F72" s="14" t="n"/>
      <c r="G72" s="14" t="n"/>
      <c r="H72" s="14" t="n"/>
      <c r="I72" s="23" t="n"/>
      <c r="J72" s="23" t="n"/>
      <c r="K72" s="24">
        <f>IF(AND(I72&lt;&gt;"",J72&lt;&gt;""),J72-I72,"")</f>
        <v/>
      </c>
      <c r="L72" s="14" t="n"/>
      <c r="M72" s="14" t="n"/>
      <c r="N72" s="14" t="n"/>
      <c r="O72" s="14" t="n"/>
      <c r="P72" s="14" t="n"/>
      <c r="Q72" s="14" t="n"/>
      <c r="R72" s="14" t="n"/>
      <c r="S72" s="14" t="n"/>
      <c r="T72" s="14" t="n"/>
      <c r="U72" s="14" t="n"/>
      <c r="V72" s="14" t="n"/>
      <c r="W72" s="14" t="n"/>
      <c r="X72" s="25" t="n"/>
      <c r="Y72" s="26" t="n"/>
      <c r="Z72" s="14" t="n"/>
      <c r="AA72" s="14" t="n"/>
      <c r="AB72" s="14" t="n"/>
    </row>
    <row r="73" ht="22" customHeight="1">
      <c r="A73" s="13" t="n"/>
      <c r="B73" s="13" t="n"/>
      <c r="C73" s="13" t="n"/>
      <c r="D73" s="13" t="n"/>
      <c r="E73" s="13" t="n"/>
      <c r="F73" s="13" t="n"/>
      <c r="G73" s="13" t="n"/>
      <c r="H73" s="13" t="n"/>
      <c r="I73" s="19" t="n"/>
      <c r="J73" s="19" t="n"/>
      <c r="K73" s="20">
        <f>IF(AND(I73&lt;&gt;"",J73&lt;&gt;""),J73-I73,"")</f>
        <v/>
      </c>
      <c r="L73" s="13" t="n"/>
      <c r="M73" s="13" t="n"/>
      <c r="N73" s="13" t="n"/>
      <c r="O73" s="13" t="n"/>
      <c r="P73" s="13" t="n"/>
      <c r="Q73" s="13" t="n"/>
      <c r="R73" s="13" t="n"/>
      <c r="S73" s="13" t="n"/>
      <c r="T73" s="13" t="n"/>
      <c r="U73" s="13" t="n"/>
      <c r="V73" s="13" t="n"/>
      <c r="W73" s="13" t="n"/>
      <c r="X73" s="21" t="n"/>
      <c r="Y73" s="22" t="n"/>
      <c r="Z73" s="13" t="n"/>
      <c r="AA73" s="13" t="n"/>
      <c r="AB73" s="13" t="n"/>
    </row>
    <row r="74" ht="22" customHeight="1">
      <c r="A74" s="14" t="n"/>
      <c r="B74" s="14" t="n"/>
      <c r="C74" s="14" t="n"/>
      <c r="D74" s="14" t="n"/>
      <c r="E74" s="14" t="n"/>
      <c r="F74" s="14" t="n"/>
      <c r="G74" s="14" t="n"/>
      <c r="H74" s="14" t="n"/>
      <c r="I74" s="23" t="n"/>
      <c r="J74" s="23" t="n"/>
      <c r="K74" s="24">
        <f>IF(AND(I74&lt;&gt;"",J74&lt;&gt;""),J74-I74,"")</f>
        <v/>
      </c>
      <c r="L74" s="14" t="n"/>
      <c r="M74" s="14" t="n"/>
      <c r="N74" s="14" t="n"/>
      <c r="O74" s="14" t="n"/>
      <c r="P74" s="14" t="n"/>
      <c r="Q74" s="14" t="n"/>
      <c r="R74" s="14" t="n"/>
      <c r="S74" s="14" t="n"/>
      <c r="T74" s="14" t="n"/>
      <c r="U74" s="14" t="n"/>
      <c r="V74" s="14" t="n"/>
      <c r="W74" s="14" t="n"/>
      <c r="X74" s="25" t="n"/>
      <c r="Y74" s="26" t="n"/>
      <c r="Z74" s="14" t="n"/>
      <c r="AA74" s="14" t="n"/>
      <c r="AB74" s="14" t="n"/>
    </row>
    <row r="75" ht="22" customHeight="1">
      <c r="A75" s="13" t="n"/>
      <c r="B75" s="13" t="n"/>
      <c r="C75" s="13" t="n"/>
      <c r="D75" s="13" t="n"/>
      <c r="E75" s="13" t="n"/>
      <c r="F75" s="13" t="n"/>
      <c r="G75" s="13" t="n"/>
      <c r="H75" s="13" t="n"/>
      <c r="I75" s="19" t="n"/>
      <c r="J75" s="19" t="n"/>
      <c r="K75" s="20">
        <f>IF(AND(I75&lt;&gt;"",J75&lt;&gt;""),J75-I75,"")</f>
        <v/>
      </c>
      <c r="L75" s="13" t="n"/>
      <c r="M75" s="13" t="n"/>
      <c r="N75" s="13" t="n"/>
      <c r="O75" s="13" t="n"/>
      <c r="P75" s="13" t="n"/>
      <c r="Q75" s="13" t="n"/>
      <c r="R75" s="13" t="n"/>
      <c r="S75" s="13" t="n"/>
      <c r="T75" s="13" t="n"/>
      <c r="U75" s="13" t="n"/>
      <c r="V75" s="13" t="n"/>
      <c r="W75" s="13" t="n"/>
      <c r="X75" s="21" t="n"/>
      <c r="Y75" s="22" t="n"/>
      <c r="Z75" s="13" t="n"/>
      <c r="AA75" s="13" t="n"/>
      <c r="AB75" s="13" t="n"/>
    </row>
    <row r="76" ht="22" customHeight="1">
      <c r="A76" s="14" t="n"/>
      <c r="B76" s="14" t="n"/>
      <c r="C76" s="14" t="n"/>
      <c r="D76" s="14" t="n"/>
      <c r="E76" s="14" t="n"/>
      <c r="F76" s="14" t="n"/>
      <c r="G76" s="14" t="n"/>
      <c r="H76" s="14" t="n"/>
      <c r="I76" s="23" t="n"/>
      <c r="J76" s="23" t="n"/>
      <c r="K76" s="24">
        <f>IF(AND(I76&lt;&gt;"",J76&lt;&gt;""),J76-I76,"")</f>
        <v/>
      </c>
      <c r="L76" s="14" t="n"/>
      <c r="M76" s="14" t="n"/>
      <c r="N76" s="14" t="n"/>
      <c r="O76" s="14" t="n"/>
      <c r="P76" s="14" t="n"/>
      <c r="Q76" s="14" t="n"/>
      <c r="R76" s="14" t="n"/>
      <c r="S76" s="14" t="n"/>
      <c r="T76" s="14" t="n"/>
      <c r="U76" s="14" t="n"/>
      <c r="V76" s="14" t="n"/>
      <c r="W76" s="14" t="n"/>
      <c r="X76" s="25" t="n"/>
      <c r="Y76" s="26" t="n"/>
      <c r="Z76" s="14" t="n"/>
      <c r="AA76" s="14" t="n"/>
      <c r="AB76" s="14" t="n"/>
    </row>
    <row r="77" ht="22" customHeight="1">
      <c r="A77" s="13" t="n"/>
      <c r="B77" s="13" t="n"/>
      <c r="C77" s="13" t="n"/>
      <c r="D77" s="13" t="n"/>
      <c r="E77" s="13" t="n"/>
      <c r="F77" s="13" t="n"/>
      <c r="G77" s="13" t="n"/>
      <c r="H77" s="13" t="n"/>
      <c r="I77" s="19" t="n"/>
      <c r="J77" s="19" t="n"/>
      <c r="K77" s="20">
        <f>IF(AND(I77&lt;&gt;"",J77&lt;&gt;""),J77-I77,"")</f>
        <v/>
      </c>
      <c r="L77" s="13" t="n"/>
      <c r="M77" s="13" t="n"/>
      <c r="N77" s="13" t="n"/>
      <c r="O77" s="13" t="n"/>
      <c r="P77" s="13" t="n"/>
      <c r="Q77" s="13" t="n"/>
      <c r="R77" s="13" t="n"/>
      <c r="S77" s="13" t="n"/>
      <c r="T77" s="13" t="n"/>
      <c r="U77" s="13" t="n"/>
      <c r="V77" s="13" t="n"/>
      <c r="W77" s="13" t="n"/>
      <c r="X77" s="21" t="n"/>
      <c r="Y77" s="22" t="n"/>
      <c r="Z77" s="13" t="n"/>
      <c r="AA77" s="13" t="n"/>
      <c r="AB77" s="13" t="n"/>
    </row>
    <row r="78" ht="22" customHeight="1">
      <c r="A78" s="14" t="n"/>
      <c r="B78" s="14" t="n"/>
      <c r="C78" s="14" t="n"/>
      <c r="D78" s="14" t="n"/>
      <c r="E78" s="14" t="n"/>
      <c r="F78" s="14" t="n"/>
      <c r="G78" s="14" t="n"/>
      <c r="H78" s="14" t="n"/>
      <c r="I78" s="23" t="n"/>
      <c r="J78" s="23" t="n"/>
      <c r="K78" s="24">
        <f>IF(AND(I78&lt;&gt;"",J78&lt;&gt;""),J78-I78,"")</f>
        <v/>
      </c>
      <c r="L78" s="14" t="n"/>
      <c r="M78" s="14" t="n"/>
      <c r="N78" s="14" t="n"/>
      <c r="O78" s="14" t="n"/>
      <c r="P78" s="14" t="n"/>
      <c r="Q78" s="14" t="n"/>
      <c r="R78" s="14" t="n"/>
      <c r="S78" s="14" t="n"/>
      <c r="T78" s="14" t="n"/>
      <c r="U78" s="14" t="n"/>
      <c r="V78" s="14" t="n"/>
      <c r="W78" s="14" t="n"/>
      <c r="X78" s="25" t="n"/>
      <c r="Y78" s="26" t="n"/>
      <c r="Z78" s="14" t="n"/>
      <c r="AA78" s="14" t="n"/>
      <c r="AB78" s="14" t="n"/>
    </row>
    <row r="79" ht="22" customHeight="1">
      <c r="A79" s="13" t="n"/>
      <c r="B79" s="13" t="n"/>
      <c r="C79" s="13" t="n"/>
      <c r="D79" s="13" t="n"/>
      <c r="E79" s="13" t="n"/>
      <c r="F79" s="13" t="n"/>
      <c r="G79" s="13" t="n"/>
      <c r="H79" s="13" t="n"/>
      <c r="I79" s="19" t="n"/>
      <c r="J79" s="19" t="n"/>
      <c r="K79" s="20">
        <f>IF(AND(I79&lt;&gt;"",J79&lt;&gt;""),J79-I79,"")</f>
        <v/>
      </c>
      <c r="L79" s="13" t="n"/>
      <c r="M79" s="13" t="n"/>
      <c r="N79" s="13" t="n"/>
      <c r="O79" s="13" t="n"/>
      <c r="P79" s="13" t="n"/>
      <c r="Q79" s="13" t="n"/>
      <c r="R79" s="13" t="n"/>
      <c r="S79" s="13" t="n"/>
      <c r="T79" s="13" t="n"/>
      <c r="U79" s="13" t="n"/>
      <c r="V79" s="13" t="n"/>
      <c r="W79" s="13" t="n"/>
      <c r="X79" s="21" t="n"/>
      <c r="Y79" s="22" t="n"/>
      <c r="Z79" s="13" t="n"/>
      <c r="AA79" s="13" t="n"/>
      <c r="AB79" s="13" t="n"/>
    </row>
    <row r="80" ht="22" customHeight="1">
      <c r="A80" s="14" t="n"/>
      <c r="B80" s="14" t="n"/>
      <c r="C80" s="14" t="n"/>
      <c r="D80" s="14" t="n"/>
      <c r="E80" s="14" t="n"/>
      <c r="F80" s="14" t="n"/>
      <c r="G80" s="14" t="n"/>
      <c r="H80" s="14" t="n"/>
      <c r="I80" s="23" t="n"/>
      <c r="J80" s="23" t="n"/>
      <c r="K80" s="24">
        <f>IF(AND(I80&lt;&gt;"",J80&lt;&gt;""),J80-I80,"")</f>
        <v/>
      </c>
      <c r="L80" s="14" t="n"/>
      <c r="M80" s="14" t="n"/>
      <c r="N80" s="14" t="n"/>
      <c r="O80" s="14" t="n"/>
      <c r="P80" s="14" t="n"/>
      <c r="Q80" s="14" t="n"/>
      <c r="R80" s="14" t="n"/>
      <c r="S80" s="14" t="n"/>
      <c r="T80" s="14" t="n"/>
      <c r="U80" s="14" t="n"/>
      <c r="V80" s="14" t="n"/>
      <c r="W80" s="14" t="n"/>
      <c r="X80" s="25" t="n"/>
      <c r="Y80" s="26" t="n"/>
      <c r="Z80" s="14" t="n"/>
      <c r="AA80" s="14" t="n"/>
      <c r="AB80" s="14" t="n"/>
    </row>
    <row r="81" ht="22" customHeight="1">
      <c r="A81" s="13" t="n"/>
      <c r="B81" s="13" t="n"/>
      <c r="C81" s="13" t="n"/>
      <c r="D81" s="13" t="n"/>
      <c r="E81" s="13" t="n"/>
      <c r="F81" s="13" t="n"/>
      <c r="G81" s="13" t="n"/>
      <c r="H81" s="13" t="n"/>
      <c r="I81" s="19" t="n"/>
      <c r="J81" s="19" t="n"/>
      <c r="K81" s="20">
        <f>IF(AND(I81&lt;&gt;"",J81&lt;&gt;""),J81-I81,"")</f>
        <v/>
      </c>
      <c r="L81" s="13" t="n"/>
      <c r="M81" s="13" t="n"/>
      <c r="N81" s="13" t="n"/>
      <c r="O81" s="13" t="n"/>
      <c r="P81" s="13" t="n"/>
      <c r="Q81" s="13" t="n"/>
      <c r="R81" s="13" t="n"/>
      <c r="S81" s="13" t="n"/>
      <c r="T81" s="13" t="n"/>
      <c r="U81" s="13" t="n"/>
      <c r="V81" s="13" t="n"/>
      <c r="W81" s="13" t="n"/>
      <c r="X81" s="21" t="n"/>
      <c r="Y81" s="22" t="n"/>
      <c r="Z81" s="13" t="n"/>
      <c r="AA81" s="13" t="n"/>
      <c r="AB81" s="13" t="n"/>
    </row>
    <row r="82" ht="22" customHeight="1">
      <c r="A82" s="14" t="n"/>
      <c r="B82" s="14" t="n"/>
      <c r="C82" s="14" t="n"/>
      <c r="D82" s="14" t="n"/>
      <c r="E82" s="14" t="n"/>
      <c r="F82" s="14" t="n"/>
      <c r="G82" s="14" t="n"/>
      <c r="H82" s="14" t="n"/>
      <c r="I82" s="23" t="n"/>
      <c r="J82" s="23" t="n"/>
      <c r="K82" s="24">
        <f>IF(AND(I82&lt;&gt;"",J82&lt;&gt;""),J82-I82,"")</f>
        <v/>
      </c>
      <c r="L82" s="14" t="n"/>
      <c r="M82" s="14" t="n"/>
      <c r="N82" s="14" t="n"/>
      <c r="O82" s="14" t="n"/>
      <c r="P82" s="14" t="n"/>
      <c r="Q82" s="14" t="n"/>
      <c r="R82" s="14" t="n"/>
      <c r="S82" s="14" t="n"/>
      <c r="T82" s="14" t="n"/>
      <c r="U82" s="14" t="n"/>
      <c r="V82" s="14" t="n"/>
      <c r="W82" s="14" t="n"/>
      <c r="X82" s="25" t="n"/>
      <c r="Y82" s="26" t="n"/>
      <c r="Z82" s="14" t="n"/>
      <c r="AA82" s="14" t="n"/>
      <c r="AB82" s="14" t="n"/>
    </row>
    <row r="83" ht="22" customHeight="1">
      <c r="A83" s="13" t="n"/>
      <c r="B83" s="13" t="n"/>
      <c r="C83" s="13" t="n"/>
      <c r="D83" s="13" t="n"/>
      <c r="E83" s="13" t="n"/>
      <c r="F83" s="13" t="n"/>
      <c r="G83" s="13" t="n"/>
      <c r="H83" s="13" t="n"/>
      <c r="I83" s="19" t="n"/>
      <c r="J83" s="19" t="n"/>
      <c r="K83" s="20">
        <f>IF(AND(I83&lt;&gt;"",J83&lt;&gt;""),J83-I83,"")</f>
        <v/>
      </c>
      <c r="L83" s="13" t="n"/>
      <c r="M83" s="13" t="n"/>
      <c r="N83" s="13" t="n"/>
      <c r="O83" s="13" t="n"/>
      <c r="P83" s="13" t="n"/>
      <c r="Q83" s="13" t="n"/>
      <c r="R83" s="13" t="n"/>
      <c r="S83" s="13" t="n"/>
      <c r="T83" s="13" t="n"/>
      <c r="U83" s="13" t="n"/>
      <c r="V83" s="13" t="n"/>
      <c r="W83" s="13" t="n"/>
      <c r="X83" s="21" t="n"/>
      <c r="Y83" s="22" t="n"/>
      <c r="Z83" s="13" t="n"/>
      <c r="AA83" s="13" t="n"/>
      <c r="AB83" s="13" t="n"/>
    </row>
    <row r="84" ht="22" customHeight="1">
      <c r="A84" s="14" t="n"/>
      <c r="B84" s="14" t="n"/>
      <c r="C84" s="14" t="n"/>
      <c r="D84" s="14" t="n"/>
      <c r="E84" s="14" t="n"/>
      <c r="F84" s="14" t="n"/>
      <c r="G84" s="14" t="n"/>
      <c r="H84" s="14" t="n"/>
      <c r="I84" s="23" t="n"/>
      <c r="J84" s="23" t="n"/>
      <c r="K84" s="24">
        <f>IF(AND(I84&lt;&gt;"",J84&lt;&gt;""),J84-I84,"")</f>
        <v/>
      </c>
      <c r="L84" s="14" t="n"/>
      <c r="M84" s="14" t="n"/>
      <c r="N84" s="14" t="n"/>
      <c r="O84" s="14" t="n"/>
      <c r="P84" s="14" t="n"/>
      <c r="Q84" s="14" t="n"/>
      <c r="R84" s="14" t="n"/>
      <c r="S84" s="14" t="n"/>
      <c r="T84" s="14" t="n"/>
      <c r="U84" s="14" t="n"/>
      <c r="V84" s="14" t="n"/>
      <c r="W84" s="14" t="n"/>
      <c r="X84" s="25" t="n"/>
      <c r="Y84" s="26" t="n"/>
      <c r="Z84" s="14" t="n"/>
      <c r="AA84" s="14" t="n"/>
      <c r="AB84" s="14" t="n"/>
    </row>
    <row r="85" ht="22" customHeight="1">
      <c r="A85" s="13" t="n"/>
      <c r="B85" s="13" t="n"/>
      <c r="C85" s="13" t="n"/>
      <c r="D85" s="13" t="n"/>
      <c r="E85" s="13" t="n"/>
      <c r="F85" s="13" t="n"/>
      <c r="G85" s="13" t="n"/>
      <c r="H85" s="13" t="n"/>
      <c r="I85" s="19" t="n"/>
      <c r="J85" s="19" t="n"/>
      <c r="K85" s="20">
        <f>IF(AND(I85&lt;&gt;"",J85&lt;&gt;""),J85-I85,"")</f>
        <v/>
      </c>
      <c r="L85" s="13" t="n"/>
      <c r="M85" s="13" t="n"/>
      <c r="N85" s="13" t="n"/>
      <c r="O85" s="13" t="n"/>
      <c r="P85" s="13" t="n"/>
      <c r="Q85" s="13" t="n"/>
      <c r="R85" s="13" t="n"/>
      <c r="S85" s="13" t="n"/>
      <c r="T85" s="13" t="n"/>
      <c r="U85" s="13" t="n"/>
      <c r="V85" s="13" t="n"/>
      <c r="W85" s="13" t="n"/>
      <c r="X85" s="21" t="n"/>
      <c r="Y85" s="22" t="n"/>
      <c r="Z85" s="13" t="n"/>
      <c r="AA85" s="13" t="n"/>
      <c r="AB85" s="13" t="n"/>
    </row>
    <row r="86" ht="22" customHeight="1">
      <c r="A86" s="14" t="n"/>
      <c r="B86" s="14" t="n"/>
      <c r="C86" s="14" t="n"/>
      <c r="D86" s="14" t="n"/>
      <c r="E86" s="14" t="n"/>
      <c r="F86" s="14" t="n"/>
      <c r="G86" s="14" t="n"/>
      <c r="H86" s="14" t="n"/>
      <c r="I86" s="23" t="n"/>
      <c r="J86" s="23" t="n"/>
      <c r="K86" s="24">
        <f>IF(AND(I86&lt;&gt;"",J86&lt;&gt;""),J86-I86,"")</f>
        <v/>
      </c>
      <c r="L86" s="14" t="n"/>
      <c r="M86" s="14" t="n"/>
      <c r="N86" s="14" t="n"/>
      <c r="O86" s="14" t="n"/>
      <c r="P86" s="14" t="n"/>
      <c r="Q86" s="14" t="n"/>
      <c r="R86" s="14" t="n"/>
      <c r="S86" s="14" t="n"/>
      <c r="T86" s="14" t="n"/>
      <c r="U86" s="14" t="n"/>
      <c r="V86" s="14" t="n"/>
      <c r="W86" s="14" t="n"/>
      <c r="X86" s="25" t="n"/>
      <c r="Y86" s="26" t="n"/>
      <c r="Z86" s="14" t="n"/>
      <c r="AA86" s="14" t="n"/>
      <c r="AB86" s="14" t="n"/>
    </row>
    <row r="87" ht="22" customHeight="1">
      <c r="A87" s="13" t="n"/>
      <c r="B87" s="13" t="n"/>
      <c r="C87" s="13" t="n"/>
      <c r="D87" s="13" t="n"/>
      <c r="E87" s="13" t="n"/>
      <c r="F87" s="13" t="n"/>
      <c r="G87" s="13" t="n"/>
      <c r="H87" s="13" t="n"/>
      <c r="I87" s="19" t="n"/>
      <c r="J87" s="19" t="n"/>
      <c r="K87" s="20">
        <f>IF(AND(I87&lt;&gt;"",J87&lt;&gt;""),J87-I87,"")</f>
        <v/>
      </c>
      <c r="L87" s="13" t="n"/>
      <c r="M87" s="13" t="n"/>
      <c r="N87" s="13" t="n"/>
      <c r="O87" s="13" t="n"/>
      <c r="P87" s="13" t="n"/>
      <c r="Q87" s="13" t="n"/>
      <c r="R87" s="13" t="n"/>
      <c r="S87" s="13" t="n"/>
      <c r="T87" s="13" t="n"/>
      <c r="U87" s="13" t="n"/>
      <c r="V87" s="13" t="n"/>
      <c r="W87" s="13" t="n"/>
      <c r="X87" s="21" t="n"/>
      <c r="Y87" s="22" t="n"/>
      <c r="Z87" s="13" t="n"/>
      <c r="AA87" s="13" t="n"/>
      <c r="AB87" s="13" t="n"/>
    </row>
    <row r="88" ht="22" customHeight="1">
      <c r="A88" s="14" t="n"/>
      <c r="B88" s="14" t="n"/>
      <c r="C88" s="14" t="n"/>
      <c r="D88" s="14" t="n"/>
      <c r="E88" s="14" t="n"/>
      <c r="F88" s="14" t="n"/>
      <c r="G88" s="14" t="n"/>
      <c r="H88" s="14" t="n"/>
      <c r="I88" s="23" t="n"/>
      <c r="J88" s="23" t="n"/>
      <c r="K88" s="24">
        <f>IF(AND(I88&lt;&gt;"",J88&lt;&gt;""),J88-I88,"")</f>
        <v/>
      </c>
      <c r="L88" s="14" t="n"/>
      <c r="M88" s="14" t="n"/>
      <c r="N88" s="14" t="n"/>
      <c r="O88" s="14" t="n"/>
      <c r="P88" s="14" t="n"/>
      <c r="Q88" s="14" t="n"/>
      <c r="R88" s="14" t="n"/>
      <c r="S88" s="14" t="n"/>
      <c r="T88" s="14" t="n"/>
      <c r="U88" s="14" t="n"/>
      <c r="V88" s="14" t="n"/>
      <c r="W88" s="14" t="n"/>
      <c r="X88" s="25" t="n"/>
      <c r="Y88" s="26" t="n"/>
      <c r="Z88" s="14" t="n"/>
      <c r="AA88" s="14" t="n"/>
      <c r="AB88" s="14" t="n"/>
    </row>
    <row r="89" ht="22" customHeight="1">
      <c r="A89" s="13" t="n"/>
      <c r="B89" s="13" t="n"/>
      <c r="C89" s="13" t="n"/>
      <c r="D89" s="13" t="n"/>
      <c r="E89" s="13" t="n"/>
      <c r="F89" s="13" t="n"/>
      <c r="G89" s="13" t="n"/>
      <c r="H89" s="13" t="n"/>
      <c r="I89" s="19" t="n"/>
      <c r="J89" s="19" t="n"/>
      <c r="K89" s="20">
        <f>IF(AND(I89&lt;&gt;"",J89&lt;&gt;""),J89-I89,"")</f>
        <v/>
      </c>
      <c r="L89" s="13" t="n"/>
      <c r="M89" s="13" t="n"/>
      <c r="N89" s="13" t="n"/>
      <c r="O89" s="13" t="n"/>
      <c r="P89" s="13" t="n"/>
      <c r="Q89" s="13" t="n"/>
      <c r="R89" s="13" t="n"/>
      <c r="S89" s="13" t="n"/>
      <c r="T89" s="13" t="n"/>
      <c r="U89" s="13" t="n"/>
      <c r="V89" s="13" t="n"/>
      <c r="W89" s="13" t="n"/>
      <c r="X89" s="21" t="n"/>
      <c r="Y89" s="22" t="n"/>
      <c r="Z89" s="13" t="n"/>
      <c r="AA89" s="13" t="n"/>
      <c r="AB89" s="13" t="n"/>
    </row>
    <row r="90" ht="22" customHeight="1">
      <c r="A90" s="14" t="n"/>
      <c r="B90" s="14" t="n"/>
      <c r="C90" s="14" t="n"/>
      <c r="D90" s="14" t="n"/>
      <c r="E90" s="14" t="n"/>
      <c r="F90" s="14" t="n"/>
      <c r="G90" s="14" t="n"/>
      <c r="H90" s="14" t="n"/>
      <c r="I90" s="23" t="n"/>
      <c r="J90" s="23" t="n"/>
      <c r="K90" s="24">
        <f>IF(AND(I90&lt;&gt;"",J90&lt;&gt;""),J90-I90,"")</f>
        <v/>
      </c>
      <c r="L90" s="14" t="n"/>
      <c r="M90" s="14" t="n"/>
      <c r="N90" s="14" t="n"/>
      <c r="O90" s="14" t="n"/>
      <c r="P90" s="14" t="n"/>
      <c r="Q90" s="14" t="n"/>
      <c r="R90" s="14" t="n"/>
      <c r="S90" s="14" t="n"/>
      <c r="T90" s="14" t="n"/>
      <c r="U90" s="14" t="n"/>
      <c r="V90" s="14" t="n"/>
      <c r="W90" s="14" t="n"/>
      <c r="X90" s="25" t="n"/>
      <c r="Y90" s="26" t="n"/>
      <c r="Z90" s="14" t="n"/>
      <c r="AA90" s="14" t="n"/>
      <c r="AB90" s="14" t="n"/>
    </row>
    <row r="91" ht="22" customHeight="1">
      <c r="A91" s="13" t="n"/>
      <c r="B91" s="13" t="n"/>
      <c r="C91" s="13" t="n"/>
      <c r="D91" s="13" t="n"/>
      <c r="E91" s="13" t="n"/>
      <c r="F91" s="13" t="n"/>
      <c r="G91" s="13" t="n"/>
      <c r="H91" s="13" t="n"/>
      <c r="I91" s="19" t="n"/>
      <c r="J91" s="19" t="n"/>
      <c r="K91" s="20">
        <f>IF(AND(I91&lt;&gt;"",J91&lt;&gt;""),J91-I91,"")</f>
        <v/>
      </c>
      <c r="L91" s="13" t="n"/>
      <c r="M91" s="13" t="n"/>
      <c r="N91" s="13" t="n"/>
      <c r="O91" s="13" t="n"/>
      <c r="P91" s="13" t="n"/>
      <c r="Q91" s="13" t="n"/>
      <c r="R91" s="13" t="n"/>
      <c r="S91" s="13" t="n"/>
      <c r="T91" s="13" t="n"/>
      <c r="U91" s="13" t="n"/>
      <c r="V91" s="13" t="n"/>
      <c r="W91" s="13" t="n"/>
      <c r="X91" s="21" t="n"/>
      <c r="Y91" s="22" t="n"/>
      <c r="Z91" s="13" t="n"/>
      <c r="AA91" s="13" t="n"/>
      <c r="AB91" s="13" t="n"/>
    </row>
    <row r="92" ht="22" customHeight="1">
      <c r="A92" s="14" t="n"/>
      <c r="B92" s="14" t="n"/>
      <c r="C92" s="14" t="n"/>
      <c r="D92" s="14" t="n"/>
      <c r="E92" s="14" t="n"/>
      <c r="F92" s="14" t="n"/>
      <c r="G92" s="14" t="n"/>
      <c r="H92" s="14" t="n"/>
      <c r="I92" s="23" t="n"/>
      <c r="J92" s="23" t="n"/>
      <c r="K92" s="24">
        <f>IF(AND(I92&lt;&gt;"",J92&lt;&gt;""),J92-I92,"")</f>
        <v/>
      </c>
      <c r="L92" s="14" t="n"/>
      <c r="M92" s="14" t="n"/>
      <c r="N92" s="14" t="n"/>
      <c r="O92" s="14" t="n"/>
      <c r="P92" s="14" t="n"/>
      <c r="Q92" s="14" t="n"/>
      <c r="R92" s="14" t="n"/>
      <c r="S92" s="14" t="n"/>
      <c r="T92" s="14" t="n"/>
      <c r="U92" s="14" t="n"/>
      <c r="V92" s="14" t="n"/>
      <c r="W92" s="14" t="n"/>
      <c r="X92" s="25" t="n"/>
      <c r="Y92" s="26" t="n"/>
      <c r="Z92" s="14" t="n"/>
      <c r="AA92" s="14" t="n"/>
      <c r="AB92" s="14" t="n"/>
    </row>
    <row r="93" ht="22" customHeight="1">
      <c r="A93" s="13" t="n"/>
      <c r="B93" s="13" t="n"/>
      <c r="C93" s="13" t="n"/>
      <c r="D93" s="13" t="n"/>
      <c r="E93" s="13" t="n"/>
      <c r="F93" s="13" t="n"/>
      <c r="G93" s="13" t="n"/>
      <c r="H93" s="13" t="n"/>
      <c r="I93" s="19" t="n"/>
      <c r="J93" s="19" t="n"/>
      <c r="K93" s="20">
        <f>IF(AND(I93&lt;&gt;"",J93&lt;&gt;""),J93-I93,"")</f>
        <v/>
      </c>
      <c r="L93" s="13" t="n"/>
      <c r="M93" s="13" t="n"/>
      <c r="N93" s="13" t="n"/>
      <c r="O93" s="13" t="n"/>
      <c r="P93" s="13" t="n"/>
      <c r="Q93" s="13" t="n"/>
      <c r="R93" s="13" t="n"/>
      <c r="S93" s="13" t="n"/>
      <c r="T93" s="13" t="n"/>
      <c r="U93" s="13" t="n"/>
      <c r="V93" s="13" t="n"/>
      <c r="W93" s="13" t="n"/>
      <c r="X93" s="21" t="n"/>
      <c r="Y93" s="22" t="n"/>
      <c r="Z93" s="13" t="n"/>
      <c r="AA93" s="13" t="n"/>
      <c r="AB93" s="13" t="n"/>
    </row>
    <row r="94" ht="22" customHeight="1">
      <c r="A94" s="14" t="n"/>
      <c r="B94" s="14" t="n"/>
      <c r="C94" s="14" t="n"/>
      <c r="D94" s="14" t="n"/>
      <c r="E94" s="14" t="n"/>
      <c r="F94" s="14" t="n"/>
      <c r="G94" s="14" t="n"/>
      <c r="H94" s="14" t="n"/>
      <c r="I94" s="23" t="n"/>
      <c r="J94" s="23" t="n"/>
      <c r="K94" s="24">
        <f>IF(AND(I94&lt;&gt;"",J94&lt;&gt;""),J94-I94,"")</f>
        <v/>
      </c>
      <c r="L94" s="14" t="n"/>
      <c r="M94" s="14" t="n"/>
      <c r="N94" s="14" t="n"/>
      <c r="O94" s="14" t="n"/>
      <c r="P94" s="14" t="n"/>
      <c r="Q94" s="14" t="n"/>
      <c r="R94" s="14" t="n"/>
      <c r="S94" s="14" t="n"/>
      <c r="T94" s="14" t="n"/>
      <c r="U94" s="14" t="n"/>
      <c r="V94" s="14" t="n"/>
      <c r="W94" s="14" t="n"/>
      <c r="X94" s="25" t="n"/>
      <c r="Y94" s="26" t="n"/>
      <c r="Z94" s="14" t="n"/>
      <c r="AA94" s="14" t="n"/>
      <c r="AB94" s="14" t="n"/>
    </row>
    <row r="95" ht="22" customHeight="1">
      <c r="A95" s="13" t="n"/>
      <c r="B95" s="13" t="n"/>
      <c r="C95" s="13" t="n"/>
      <c r="D95" s="13" t="n"/>
      <c r="E95" s="13" t="n"/>
      <c r="F95" s="13" t="n"/>
      <c r="G95" s="13" t="n"/>
      <c r="H95" s="13" t="n"/>
      <c r="I95" s="19" t="n"/>
      <c r="J95" s="19" t="n"/>
      <c r="K95" s="20">
        <f>IF(AND(I95&lt;&gt;"",J95&lt;&gt;""),J95-I95,"")</f>
        <v/>
      </c>
      <c r="L95" s="13" t="n"/>
      <c r="M95" s="13" t="n"/>
      <c r="N95" s="13" t="n"/>
      <c r="O95" s="13" t="n"/>
      <c r="P95" s="13" t="n"/>
      <c r="Q95" s="13" t="n"/>
      <c r="R95" s="13" t="n"/>
      <c r="S95" s="13" t="n"/>
      <c r="T95" s="13" t="n"/>
      <c r="U95" s="13" t="n"/>
      <c r="V95" s="13" t="n"/>
      <c r="W95" s="13" t="n"/>
      <c r="X95" s="21" t="n"/>
      <c r="Y95" s="22" t="n"/>
      <c r="Z95" s="13" t="n"/>
      <c r="AA95" s="13" t="n"/>
      <c r="AB95" s="13" t="n"/>
    </row>
    <row r="96" ht="22" customHeight="1">
      <c r="A96" s="14" t="n"/>
      <c r="B96" s="14" t="n"/>
      <c r="C96" s="14" t="n"/>
      <c r="D96" s="14" t="n"/>
      <c r="E96" s="14" t="n"/>
      <c r="F96" s="14" t="n"/>
      <c r="G96" s="14" t="n"/>
      <c r="H96" s="14" t="n"/>
      <c r="I96" s="23" t="n"/>
      <c r="J96" s="23" t="n"/>
      <c r="K96" s="24">
        <f>IF(AND(I96&lt;&gt;"",J96&lt;&gt;""),J96-I96,"")</f>
        <v/>
      </c>
      <c r="L96" s="14" t="n"/>
      <c r="M96" s="14" t="n"/>
      <c r="N96" s="14" t="n"/>
      <c r="O96" s="14" t="n"/>
      <c r="P96" s="14" t="n"/>
      <c r="Q96" s="14" t="n"/>
      <c r="R96" s="14" t="n"/>
      <c r="S96" s="14" t="n"/>
      <c r="T96" s="14" t="n"/>
      <c r="U96" s="14" t="n"/>
      <c r="V96" s="14" t="n"/>
      <c r="W96" s="14" t="n"/>
      <c r="X96" s="25" t="n"/>
      <c r="Y96" s="26" t="n"/>
      <c r="Z96" s="14" t="n"/>
      <c r="AA96" s="14" t="n"/>
      <c r="AB96" s="14" t="n"/>
    </row>
    <row r="97" ht="22" customHeight="1">
      <c r="A97" s="13" t="n"/>
      <c r="B97" s="13" t="n"/>
      <c r="C97" s="13" t="n"/>
      <c r="D97" s="13" t="n"/>
      <c r="E97" s="13" t="n"/>
      <c r="F97" s="13" t="n"/>
      <c r="G97" s="13" t="n"/>
      <c r="H97" s="13" t="n"/>
      <c r="I97" s="19" t="n"/>
      <c r="J97" s="19" t="n"/>
      <c r="K97" s="20">
        <f>IF(AND(I97&lt;&gt;"",J97&lt;&gt;""),J97-I97,"")</f>
        <v/>
      </c>
      <c r="L97" s="13" t="n"/>
      <c r="M97" s="13" t="n"/>
      <c r="N97" s="13" t="n"/>
      <c r="O97" s="13" t="n"/>
      <c r="P97" s="13" t="n"/>
      <c r="Q97" s="13" t="n"/>
      <c r="R97" s="13" t="n"/>
      <c r="S97" s="13" t="n"/>
      <c r="T97" s="13" t="n"/>
      <c r="U97" s="13" t="n"/>
      <c r="V97" s="13" t="n"/>
      <c r="W97" s="13" t="n"/>
      <c r="X97" s="21" t="n"/>
      <c r="Y97" s="22" t="n"/>
      <c r="Z97" s="13" t="n"/>
      <c r="AA97" s="13" t="n"/>
      <c r="AB97" s="13" t="n"/>
    </row>
    <row r="98" ht="22" customHeight="1">
      <c r="A98" s="14" t="n"/>
      <c r="B98" s="14" t="n"/>
      <c r="C98" s="14" t="n"/>
      <c r="D98" s="14" t="n"/>
      <c r="E98" s="14" t="n"/>
      <c r="F98" s="14" t="n"/>
      <c r="G98" s="14" t="n"/>
      <c r="H98" s="14" t="n"/>
      <c r="I98" s="23" t="n"/>
      <c r="J98" s="23" t="n"/>
      <c r="K98" s="24">
        <f>IF(AND(I98&lt;&gt;"",J98&lt;&gt;""),J98-I98,"")</f>
        <v/>
      </c>
      <c r="L98" s="14" t="n"/>
      <c r="M98" s="14" t="n"/>
      <c r="N98" s="14" t="n"/>
      <c r="O98" s="14" t="n"/>
      <c r="P98" s="14" t="n"/>
      <c r="Q98" s="14" t="n"/>
      <c r="R98" s="14" t="n"/>
      <c r="S98" s="14" t="n"/>
      <c r="T98" s="14" t="n"/>
      <c r="U98" s="14" t="n"/>
      <c r="V98" s="14" t="n"/>
      <c r="W98" s="14" t="n"/>
      <c r="X98" s="25" t="n"/>
      <c r="Y98" s="26" t="n"/>
      <c r="Z98" s="14" t="n"/>
      <c r="AA98" s="14" t="n"/>
      <c r="AB98" s="14" t="n"/>
    </row>
    <row r="99" ht="22" customHeight="1">
      <c r="A99" s="13" t="n"/>
      <c r="B99" s="13" t="n"/>
      <c r="C99" s="13" t="n"/>
      <c r="D99" s="13" t="n"/>
      <c r="E99" s="13" t="n"/>
      <c r="F99" s="13" t="n"/>
      <c r="G99" s="13" t="n"/>
      <c r="H99" s="13" t="n"/>
      <c r="I99" s="19" t="n"/>
      <c r="J99" s="19" t="n"/>
      <c r="K99" s="20">
        <f>IF(AND(I99&lt;&gt;"",J99&lt;&gt;""),J99-I99,"")</f>
        <v/>
      </c>
      <c r="L99" s="13" t="n"/>
      <c r="M99" s="13" t="n"/>
      <c r="N99" s="13" t="n"/>
      <c r="O99" s="13" t="n"/>
      <c r="P99" s="13" t="n"/>
      <c r="Q99" s="13" t="n"/>
      <c r="R99" s="13" t="n"/>
      <c r="S99" s="13" t="n"/>
      <c r="T99" s="13" t="n"/>
      <c r="U99" s="13" t="n"/>
      <c r="V99" s="13" t="n"/>
      <c r="W99" s="13" t="n"/>
      <c r="X99" s="21" t="n"/>
      <c r="Y99" s="22" t="n"/>
      <c r="Z99" s="13" t="n"/>
      <c r="AA99" s="13" t="n"/>
      <c r="AB99" s="13" t="n"/>
    </row>
    <row r="100" ht="22" customHeight="1">
      <c r="A100" s="14" t="n"/>
      <c r="B100" s="14" t="n"/>
      <c r="C100" s="14" t="n"/>
      <c r="D100" s="14" t="n"/>
      <c r="E100" s="14" t="n"/>
      <c r="F100" s="14" t="n"/>
      <c r="G100" s="14" t="n"/>
      <c r="H100" s="14" t="n"/>
      <c r="I100" s="23" t="n"/>
      <c r="J100" s="23" t="n"/>
      <c r="K100" s="24">
        <f>IF(AND(I100&lt;&gt;"",J100&lt;&gt;""),J100-I100,"")</f>
        <v/>
      </c>
      <c r="L100" s="14" t="n"/>
      <c r="M100" s="14" t="n"/>
      <c r="N100" s="14" t="n"/>
      <c r="O100" s="14" t="n"/>
      <c r="P100" s="14" t="n"/>
      <c r="Q100" s="14" t="n"/>
      <c r="R100" s="14" t="n"/>
      <c r="S100" s="14" t="n"/>
      <c r="T100" s="14" t="n"/>
      <c r="U100" s="14" t="n"/>
      <c r="V100" s="14" t="n"/>
      <c r="W100" s="14" t="n"/>
      <c r="X100" s="25" t="n"/>
      <c r="Y100" s="26" t="n"/>
      <c r="Z100" s="14" t="n"/>
      <c r="AA100" s="14" t="n"/>
      <c r="AB100" s="14" t="n"/>
    </row>
    <row r="101" ht="22" customHeight="1">
      <c r="A101" s="13" t="n"/>
      <c r="B101" s="13" t="n"/>
      <c r="C101" s="13" t="n"/>
      <c r="D101" s="13" t="n"/>
      <c r="E101" s="13" t="n"/>
      <c r="F101" s="13" t="n"/>
      <c r="G101" s="13" t="n"/>
      <c r="H101" s="13" t="n"/>
      <c r="I101" s="19" t="n"/>
      <c r="J101" s="19" t="n"/>
      <c r="K101" s="20">
        <f>IF(AND(I101&lt;&gt;"",J101&lt;&gt;""),J101-I101,"")</f>
        <v/>
      </c>
      <c r="L101" s="13" t="n"/>
      <c r="M101" s="13" t="n"/>
      <c r="N101" s="13" t="n"/>
      <c r="O101" s="13" t="n"/>
      <c r="P101" s="13" t="n"/>
      <c r="Q101" s="13" t="n"/>
      <c r="R101" s="13" t="n"/>
      <c r="S101" s="13" t="n"/>
      <c r="T101" s="13" t="n"/>
      <c r="U101" s="13" t="n"/>
      <c r="V101" s="13" t="n"/>
      <c r="W101" s="13" t="n"/>
      <c r="X101" s="21" t="n"/>
      <c r="Y101" s="22" t="n"/>
      <c r="Z101" s="13" t="n"/>
      <c r="AA101" s="13" t="n"/>
      <c r="AB101" s="13" t="n"/>
    </row>
    <row r="102" ht="22" customHeight="1">
      <c r="A102" s="14" t="n"/>
      <c r="B102" s="14" t="n"/>
      <c r="C102" s="14" t="n"/>
      <c r="D102" s="14" t="n"/>
      <c r="E102" s="14" t="n"/>
      <c r="F102" s="14" t="n"/>
      <c r="G102" s="14" t="n"/>
      <c r="H102" s="14" t="n"/>
      <c r="I102" s="23" t="n"/>
      <c r="J102" s="23" t="n"/>
      <c r="K102" s="24">
        <f>IF(AND(I102&lt;&gt;"",J102&lt;&gt;""),J102-I102,"")</f>
        <v/>
      </c>
      <c r="L102" s="14" t="n"/>
      <c r="M102" s="14" t="n"/>
      <c r="N102" s="14" t="n"/>
      <c r="O102" s="14" t="n"/>
      <c r="P102" s="14" t="n"/>
      <c r="Q102" s="14" t="n"/>
      <c r="R102" s="14" t="n"/>
      <c r="S102" s="14" t="n"/>
      <c r="T102" s="14" t="n"/>
      <c r="U102" s="14" t="n"/>
      <c r="V102" s="14" t="n"/>
      <c r="W102" s="14" t="n"/>
      <c r="X102" s="25" t="n"/>
      <c r="Y102" s="26" t="n"/>
      <c r="Z102" s="14" t="n"/>
      <c r="AA102" s="14" t="n"/>
      <c r="AB102" s="14" t="n"/>
    </row>
    <row r="103" ht="22" customHeight="1">
      <c r="A103" s="13" t="n"/>
      <c r="B103" s="13" t="n"/>
      <c r="C103" s="13" t="n"/>
      <c r="D103" s="13" t="n"/>
      <c r="E103" s="13" t="n"/>
      <c r="F103" s="13" t="n"/>
      <c r="G103" s="13" t="n"/>
      <c r="H103" s="13" t="n"/>
      <c r="I103" s="19" t="n"/>
      <c r="J103" s="19" t="n"/>
      <c r="K103" s="20">
        <f>IF(AND(I103&lt;&gt;"",J103&lt;&gt;""),J103-I103,"")</f>
        <v/>
      </c>
      <c r="L103" s="13" t="n"/>
      <c r="M103" s="13" t="n"/>
      <c r="N103" s="13" t="n"/>
      <c r="O103" s="13" t="n"/>
      <c r="P103" s="13" t="n"/>
      <c r="Q103" s="13" t="n"/>
      <c r="R103" s="13" t="n"/>
      <c r="S103" s="13" t="n"/>
      <c r="T103" s="13" t="n"/>
      <c r="U103" s="13" t="n"/>
      <c r="V103" s="13" t="n"/>
      <c r="W103" s="13" t="n"/>
      <c r="X103" s="21" t="n"/>
      <c r="Y103" s="22" t="n"/>
      <c r="Z103" s="13" t="n"/>
      <c r="AA103" s="13" t="n"/>
      <c r="AB103" s="13" t="n"/>
    </row>
    <row r="104" ht="22" customHeight="1">
      <c r="A104" s="14" t="n"/>
      <c r="B104" s="14" t="n"/>
      <c r="C104" s="14" t="n"/>
      <c r="D104" s="14" t="n"/>
      <c r="E104" s="14" t="n"/>
      <c r="F104" s="14" t="n"/>
      <c r="G104" s="14" t="n"/>
      <c r="H104" s="14" t="n"/>
      <c r="I104" s="23" t="n"/>
      <c r="J104" s="23" t="n"/>
      <c r="K104" s="24">
        <f>IF(AND(I104&lt;&gt;"",J104&lt;&gt;""),J104-I104,"")</f>
        <v/>
      </c>
      <c r="L104" s="14" t="n"/>
      <c r="M104" s="14" t="n"/>
      <c r="N104" s="14" t="n"/>
      <c r="O104" s="14" t="n"/>
      <c r="P104" s="14" t="n"/>
      <c r="Q104" s="14" t="n"/>
      <c r="R104" s="14" t="n"/>
      <c r="S104" s="14" t="n"/>
      <c r="T104" s="14" t="n"/>
      <c r="U104" s="14" t="n"/>
      <c r="V104" s="14" t="n"/>
      <c r="W104" s="14" t="n"/>
      <c r="X104" s="25" t="n"/>
      <c r="Y104" s="26" t="n"/>
      <c r="Z104" s="14" t="n"/>
      <c r="AA104" s="14" t="n"/>
      <c r="AB104" s="14" t="n"/>
    </row>
  </sheetData>
  <autoFilter ref="A4:AB104"/>
  <conditionalFormatting sqref="K5:K104">
    <cfRule type="cellIs" priority="1" operator="greaterThan" dxfId="7">
      <formula>90</formula>
    </cfRule>
    <cfRule type="cellIs" priority="2" operator="between" dxfId="8">
      <formula>76</formula>
      <formula>90</formula>
    </cfRule>
    <cfRule type="cellIs" priority="3" operator="lessThanOrEqual" dxfId="9">
      <formula>75</formula>
    </cfRule>
  </conditionalFormatting>
  <conditionalFormatting sqref="P5:P104">
    <cfRule type="cellIs" priority="4" operator="equal" dxfId="3">
      <formula>"Terminé"</formula>
    </cfRule>
    <cfRule type="cellIs" priority="5" operator="equal" dxfId="4">
      <formula>"En cours"</formula>
    </cfRule>
    <cfRule type="cellIs" priority="6" operator="equal" dxfId="1">
      <formula>"À risque"</formula>
    </cfRule>
    <cfRule type="cellIs" priority="7" operator="equal" dxfId="0">
      <formula>"Bloqué"</formula>
    </cfRule>
    <cfRule type="cellIs" priority="8" operator="equal" dxfId="5">
      <formula>"Non démarré"</formula>
    </cfRule>
  </conditionalFormatting>
  <conditionalFormatting sqref="O5:O104">
    <cfRule type="cellIs" priority="9" operator="equal" dxfId="0">
      <formula>"Haute"</formula>
    </cfRule>
    <cfRule type="cellIs" priority="10" operator="equal" dxfId="1">
      <formula>"Moyenne"</formula>
    </cfRule>
  </conditionalFormatting>
  <conditionalFormatting sqref="Y5:Y104">
    <cfRule type="dataBar" priority="11">
      <dataBar>
        <cfvo type="num" val="0"/>
        <cfvo type="num" val="1"/>
        <color rgb="000050A0"/>
      </dataBar>
    </cfRule>
  </conditionalFormatting>
  <dataValidations count="5">
    <dataValidation sqref="G5:G104" showDropDown="0" showInputMessage="0" showErrorMessage="1" allowBlank="1" errorTitle="Valeur invalide" error="Choisir une valeur dans la liste." promptTitle="Horizon" prompt="" type="list">
      <formula1>Listes!$B$2:$B$4</formula1>
    </dataValidation>
    <dataValidation sqref="H5:H104" showDropDown="0" showInputMessage="0" showErrorMessage="1" allowBlank="1" errorTitle="Valeur invalide" error="Choisir une valeur dans la liste." promptTitle="Trimestre" prompt="" type="list">
      <formula1>Listes!$F$2:$F$5</formula1>
    </dataValidation>
    <dataValidation sqref="O5:O104" showDropDown="0" showInputMessage="0" showErrorMessage="1" allowBlank="1" errorTitle="Valeur invalide" error="Choisir une valeur dans la liste." promptTitle="Priorité" prompt="" type="list">
      <formula1>Listes!$C$2:$C$4</formula1>
    </dataValidation>
    <dataValidation sqref="P5:P104" showDropDown="0" showInputMessage="0" showErrorMessage="1" allowBlank="1" errorTitle="Valeur invalide" error="Choisir une valeur dans la liste." promptTitle="Statut Projet" prompt="" type="list">
      <formula1>Listes!$G$2:$G$6</formula1>
    </dataValidation>
    <dataValidation sqref="L5:N104" showDropDown="0" showInputMessage="0" showErrorMessage="1" allowBlank="1" errorTitle="Valeur invalide" error="Choisir une valeur dans la liste." promptTitle="Personne" prompt="" type="list">
      <formula1>Listes!$E$2:$E$10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Q55"/>
  <sheetViews>
    <sheetView showGridLines="0" workbookViewId="0">
      <selection activeCell="A1" sqref="A1"/>
    </sheetView>
  </sheetViews>
  <sheetFormatPr baseColWidth="8" defaultRowHeight="15"/>
  <cols>
    <col width="2" customWidth="1" min="1" max="1"/>
    <col width="22" customWidth="1" min="2" max="2"/>
    <col width="22" customWidth="1" min="3" max="3"/>
    <col width="16" customWidth="1" min="4" max="4"/>
    <col width="16" customWidth="1" min="5" max="5"/>
    <col width="2" customWidth="1" min="6" max="6"/>
    <col width="24" customWidth="1" min="7" max="7"/>
    <col width="24" customWidth="1" min="8" max="8"/>
    <col width="14" customWidth="1" min="9" max="9"/>
    <col width="14" customWidth="1" min="10" max="10"/>
    <col width="2" customWidth="1" min="11" max="11"/>
    <col width="14" customWidth="1" min="12" max="12"/>
    <col width="14" customWidth="1" min="13" max="13"/>
    <col width="2" customWidth="1" min="14" max="14"/>
    <col width="18" customWidth="1" min="16" max="16"/>
    <col width="10" customWidth="1" min="17" max="17"/>
  </cols>
  <sheetData>
    <row r="1" ht="12" customHeight="1"/>
    <row r="2" ht="48" customHeight="1">
      <c r="B2" s="27" t="inlineStr">
        <is>
          <t>TABLEAU DE BORD STRATÉGIQUE — CAMIONS DUBOIS</t>
        </is>
      </c>
      <c r="P2" t="inlineStr">
        <is>
          <t>Statut</t>
        </is>
      </c>
      <c r="Q2" t="inlineStr">
        <is>
          <t>Nb</t>
        </is>
      </c>
    </row>
    <row r="3" ht="5" customHeight="1">
      <c r="B3" s="28" t="n"/>
      <c r="P3" t="inlineStr">
        <is>
          <t>Non démarré</t>
        </is>
      </c>
      <c r="Q3">
        <f>COUNTIF(Projets_90_Jours!P5:P104,"Non démarré")</f>
        <v/>
      </c>
    </row>
    <row r="4" ht="18" customHeight="1">
      <c r="B4" s="29" t="inlineStr">
        <is>
          <t>Mise à jour automatique — Ne pas modifier cette feuille directement</t>
        </is>
      </c>
      <c r="P4" t="inlineStr">
        <is>
          <t>En cours</t>
        </is>
      </c>
      <c r="Q4">
        <f>COUNTIF(Projets_90_Jours!P5:P104,"En cours")</f>
        <v/>
      </c>
    </row>
    <row r="5" ht="10" customHeight="1">
      <c r="P5" t="inlineStr">
        <is>
          <t>À risque</t>
        </is>
      </c>
      <c r="Q5">
        <f>COUNTIF(Projets_90_Jours!P5:P104,"À risque")</f>
        <v/>
      </c>
    </row>
    <row r="6" ht="24" customHeight="1">
      <c r="B6" s="4" t="inlineStr">
        <is>
          <t xml:space="preserve">  A.  INDICATEURS GLOBAUX</t>
        </is>
      </c>
      <c r="G6" s="4" t="inlineStr">
        <is>
          <t xml:space="preserve">  G.  PROCHAINES ÉCHÉANCES (top 10)</t>
        </is>
      </c>
      <c r="P6" t="inlineStr">
        <is>
          <t>Bloqué</t>
        </is>
      </c>
      <c r="Q6">
        <f>COUNTIF(Projets_90_Jours!P5:P104,"Bloqué")</f>
        <v/>
      </c>
    </row>
    <row r="7" ht="6" customHeight="1">
      <c r="P7" t="inlineStr">
        <is>
          <t>Terminé</t>
        </is>
      </c>
      <c r="Q7">
        <f>COUNTIF(Projets_90_Jours!P5:P104,"Terminé")</f>
        <v/>
      </c>
    </row>
    <row r="8" ht="22" customHeight="1">
      <c r="B8" s="30" t="inlineStr">
        <is>
          <t>Axes stratégiques</t>
        </is>
      </c>
      <c r="C8" s="31" t="n"/>
      <c r="D8" s="30" t="inlineStr">
        <is>
          <t>Initiatives</t>
        </is>
      </c>
      <c r="E8" s="31" t="n"/>
      <c r="G8" s="32" t="inlineStr">
        <is>
          <t>Nom du projet</t>
        </is>
      </c>
      <c r="H8" s="33" t="n"/>
      <c r="I8" s="31" t="n"/>
      <c r="J8" s="32" t="inlineStr">
        <is>
          <t>Date fin</t>
        </is>
      </c>
      <c r="K8" s="31" t="n"/>
      <c r="L8" s="32" t="inlineStr">
        <is>
          <t>Statut</t>
        </is>
      </c>
      <c r="M8" s="31" t="n"/>
    </row>
    <row r="9" ht="16" customHeight="1">
      <c r="B9" s="34">
        <f>COUNTA(Axes_Strategiques!A5:A24)</f>
        <v/>
      </c>
      <c r="C9" s="31" t="n"/>
      <c r="D9" s="34">
        <f>COUNTA(Initiatives!A5:A54)</f>
        <v/>
      </c>
      <c r="E9" s="31" t="n"/>
      <c r="G9" s="9" t="inlineStr">
        <is>
          <t>Projets actifs (hors Terminé) triés par date de fin :</t>
        </is>
      </c>
    </row>
    <row r="10" ht="22" customHeight="1">
      <c r="G10" s="14">
        <f>IFERROR(INDEX(Projets_90_Jours!E$5:E$104,MATCH(SMALL(IF(Projets_90_Jours!P$5:P$104&lt;&gt;"Terminé",IF(Projets_90_Jours!J$5:J$104&lt;&gt;"",Projets_90_Jours!J$5:J$104)),1),Projets_90_Jours!J$5:J$104,0)),"")</f>
        <v/>
      </c>
      <c r="H10" s="33" t="n"/>
      <c r="I10" s="31" t="n"/>
      <c r="J10" s="23">
        <f>IFERROR(SMALL(IF(Projets_90_Jours!P$5:P$104&lt;&gt;"Terminé",IF(Projets_90_Jours!J$5:J$104&lt;&gt;"",Projets_90_Jours!J$5:J$104)),1),"")</f>
        <v/>
      </c>
      <c r="K10" s="31" t="n"/>
      <c r="L10" s="18">
        <f>IFERROR(INDEX(Projets_90_Jours!P$5:P$104,MATCH(SMALL(IF(Projets_90_Jours!P$5:P$104&lt;&gt;"Terminé",IF(Projets_90_Jours!J$5:J$104&lt;&gt;"",Projets_90_Jours!J$5:J$104)),1),Projets_90_Jours!J$5:J$104,0)),"")</f>
        <v/>
      </c>
      <c r="M10" s="31" t="n"/>
    </row>
    <row r="11" ht="22" customHeight="1">
      <c r="B11" s="35" t="inlineStr">
        <is>
          <t>Projets total</t>
        </is>
      </c>
      <c r="C11" s="31" t="n"/>
      <c r="D11" s="35" t="inlineStr">
        <is>
          <t>Projets actifs</t>
        </is>
      </c>
      <c r="E11" s="31" t="n"/>
      <c r="G11" s="13">
        <f>IFERROR(INDEX(Projets_90_Jours!E$5:E$104,MATCH(SMALL(IF(Projets_90_Jours!P$5:P$104&lt;&gt;"Terminé",IF(Projets_90_Jours!J$5:J$104&lt;&gt;"",Projets_90_Jours!J$5:J$104)),2),Projets_90_Jours!J$5:J$104,0)),"")</f>
        <v/>
      </c>
      <c r="H11" s="33" t="n"/>
      <c r="I11" s="31" t="n"/>
      <c r="J11" s="19">
        <f>IFERROR(SMALL(IF(Projets_90_Jours!P$5:P$104&lt;&gt;"Terminé",IF(Projets_90_Jours!J$5:J$104&lt;&gt;"",Projets_90_Jours!J$5:J$104)),2),"")</f>
        <v/>
      </c>
      <c r="K11" s="31" t="n"/>
      <c r="L11" s="17">
        <f>IFERROR(INDEX(Projets_90_Jours!P$5:P$104,MATCH(SMALL(IF(Projets_90_Jours!P$5:P$104&lt;&gt;"Terminé",IF(Projets_90_Jours!J$5:J$104&lt;&gt;"",Projets_90_Jours!J$5:J$104)),2),Projets_90_Jours!J$5:J$104,0)),"")</f>
        <v/>
      </c>
      <c r="M11" s="31" t="n"/>
    </row>
    <row r="12" ht="22" customHeight="1">
      <c r="B12" s="34">
        <f>COUNTA(Projets_90_Jours!A5:A104)</f>
        <v/>
      </c>
      <c r="C12" s="31" t="n"/>
      <c r="D12" s="34">
        <f>COUNTIF(Projets_90_Jours!P5:P104,"En cours")</f>
        <v/>
      </c>
      <c r="E12" s="31" t="n"/>
      <c r="G12" s="14">
        <f>IFERROR(INDEX(Projets_90_Jours!E$5:E$104,MATCH(SMALL(IF(Projets_90_Jours!P$5:P$104&lt;&gt;"Terminé",IF(Projets_90_Jours!J$5:J$104&lt;&gt;"",Projets_90_Jours!J$5:J$104)),3),Projets_90_Jours!J$5:J$104,0)),"")</f>
        <v/>
      </c>
      <c r="H12" s="33" t="n"/>
      <c r="I12" s="31" t="n"/>
      <c r="J12" s="23">
        <f>IFERROR(SMALL(IF(Projets_90_Jours!P$5:P$104&lt;&gt;"Terminé",IF(Projets_90_Jours!J$5:J$104&lt;&gt;"",Projets_90_Jours!J$5:J$104)),3),"")</f>
        <v/>
      </c>
      <c r="K12" s="31" t="n"/>
      <c r="L12" s="18">
        <f>IFERROR(INDEX(Projets_90_Jours!P$5:P$104,MATCH(SMALL(IF(Projets_90_Jours!P$5:P$104&lt;&gt;"Terminé",IF(Projets_90_Jours!J$5:J$104&lt;&gt;"",Projets_90_Jours!J$5:J$104)),3),Projets_90_Jours!J$5:J$104,0)),"")</f>
        <v/>
      </c>
      <c r="M12" s="31" t="n"/>
    </row>
    <row r="13" ht="22" customHeight="1">
      <c r="G13" s="13">
        <f>IFERROR(INDEX(Projets_90_Jours!E$5:E$104,MATCH(SMALL(IF(Projets_90_Jours!P$5:P$104&lt;&gt;"Terminé",IF(Projets_90_Jours!J$5:J$104&lt;&gt;"",Projets_90_Jours!J$5:J$104)),4),Projets_90_Jours!J$5:J$104,0)),"")</f>
        <v/>
      </c>
      <c r="H13" s="33" t="n"/>
      <c r="I13" s="31" t="n"/>
      <c r="J13" s="19">
        <f>IFERROR(SMALL(IF(Projets_90_Jours!P$5:P$104&lt;&gt;"Terminé",IF(Projets_90_Jours!J$5:J$104&lt;&gt;"",Projets_90_Jours!J$5:J$104)),4),"")</f>
        <v/>
      </c>
      <c r="K13" s="31" t="n"/>
      <c r="L13" s="17">
        <f>IFERROR(INDEX(Projets_90_Jours!P$5:P$104,MATCH(SMALL(IF(Projets_90_Jours!P$5:P$104&lt;&gt;"Terminé",IF(Projets_90_Jours!J$5:J$104&lt;&gt;"",Projets_90_Jours!J$5:J$104)),4),Projets_90_Jours!J$5:J$104,0)),"")</f>
        <v/>
      </c>
      <c r="M13" s="31" t="n"/>
    </row>
    <row r="14" ht="22" customHeight="1">
      <c r="B14" s="36" t="inlineStr">
        <is>
          <t>Projets terminés</t>
        </is>
      </c>
      <c r="C14" s="31" t="n"/>
      <c r="D14" s="37" t="inlineStr">
        <is>
          <t>Projets à risque</t>
        </is>
      </c>
      <c r="E14" s="31" t="n"/>
      <c r="G14" s="14">
        <f>IFERROR(INDEX(Projets_90_Jours!E$5:E$104,MATCH(SMALL(IF(Projets_90_Jours!P$5:P$104&lt;&gt;"Terminé",IF(Projets_90_Jours!J$5:J$104&lt;&gt;"",Projets_90_Jours!J$5:J$104)),5),Projets_90_Jours!J$5:J$104,0)),"")</f>
        <v/>
      </c>
      <c r="H14" s="33" t="n"/>
      <c r="I14" s="31" t="n"/>
      <c r="J14" s="23">
        <f>IFERROR(SMALL(IF(Projets_90_Jours!P$5:P$104&lt;&gt;"Terminé",IF(Projets_90_Jours!J$5:J$104&lt;&gt;"",Projets_90_Jours!J$5:J$104)),5),"")</f>
        <v/>
      </c>
      <c r="K14" s="31" t="n"/>
      <c r="L14" s="18">
        <f>IFERROR(INDEX(Projets_90_Jours!P$5:P$104,MATCH(SMALL(IF(Projets_90_Jours!P$5:P$104&lt;&gt;"Terminé",IF(Projets_90_Jours!J$5:J$104&lt;&gt;"",Projets_90_Jours!J$5:J$104)),5),Projets_90_Jours!J$5:J$104,0)),"")</f>
        <v/>
      </c>
      <c r="M14" s="31" t="n"/>
    </row>
    <row r="15" ht="22" customHeight="1">
      <c r="B15" s="38">
        <f>COUNTIF(Projets_90_Jours!P5:P104,"Terminé")</f>
        <v/>
      </c>
      <c r="C15" s="31" t="n"/>
      <c r="D15" s="39">
        <f>COUNTIF(Projets_90_Jours!P5:P104,"À risque")</f>
        <v/>
      </c>
      <c r="E15" s="31" t="n"/>
      <c r="G15" s="13">
        <f>IFERROR(INDEX(Projets_90_Jours!E$5:E$104,MATCH(SMALL(IF(Projets_90_Jours!P$5:P$104&lt;&gt;"Terminé",IF(Projets_90_Jours!J$5:J$104&lt;&gt;"",Projets_90_Jours!J$5:J$104)),6),Projets_90_Jours!J$5:J$104,0)),"")</f>
        <v/>
      </c>
      <c r="H15" s="33" t="n"/>
      <c r="I15" s="31" t="n"/>
      <c r="J15" s="19">
        <f>IFERROR(SMALL(IF(Projets_90_Jours!P$5:P$104&lt;&gt;"Terminé",IF(Projets_90_Jours!J$5:J$104&lt;&gt;"",Projets_90_Jours!J$5:J$104)),6),"")</f>
        <v/>
      </c>
      <c r="K15" s="31" t="n"/>
      <c r="L15" s="17">
        <f>IFERROR(INDEX(Projets_90_Jours!P$5:P$104,MATCH(SMALL(IF(Projets_90_Jours!P$5:P$104&lt;&gt;"Terminé",IF(Projets_90_Jours!J$5:J$104&lt;&gt;"",Projets_90_Jours!J$5:J$104)),6),Projets_90_Jours!J$5:J$104,0)),"")</f>
        <v/>
      </c>
      <c r="M15" s="31" t="n"/>
    </row>
    <row r="16" ht="22" customHeight="1">
      <c r="G16" s="14">
        <f>IFERROR(INDEX(Projets_90_Jours!E$5:E$104,MATCH(SMALL(IF(Projets_90_Jours!P$5:P$104&lt;&gt;"Terminé",IF(Projets_90_Jours!J$5:J$104&lt;&gt;"",Projets_90_Jours!J$5:J$104)),7),Projets_90_Jours!J$5:J$104,0)),"")</f>
        <v/>
      </c>
      <c r="H16" s="33" t="n"/>
      <c r="I16" s="31" t="n"/>
      <c r="J16" s="23">
        <f>IFERROR(SMALL(IF(Projets_90_Jours!P$5:P$104&lt;&gt;"Terminé",IF(Projets_90_Jours!J$5:J$104&lt;&gt;"",Projets_90_Jours!J$5:J$104)),7),"")</f>
        <v/>
      </c>
      <c r="K16" s="31" t="n"/>
      <c r="L16" s="18">
        <f>IFERROR(INDEX(Projets_90_Jours!P$5:P$104,MATCH(SMALL(IF(Projets_90_Jours!P$5:P$104&lt;&gt;"Terminé",IF(Projets_90_Jours!J$5:J$104&lt;&gt;"",Projets_90_Jours!J$5:J$104)),7),Projets_90_Jours!J$5:J$104,0)),"")</f>
        <v/>
      </c>
      <c r="M16" s="31" t="n"/>
    </row>
    <row r="17" ht="22" customHeight="1">
      <c r="B17" s="40" t="inlineStr">
        <is>
          <t>Projets bloqués</t>
        </is>
      </c>
      <c r="C17" s="31" t="n"/>
      <c r="D17" s="40" t="inlineStr">
        <is>
          <t>Durée &gt; 90 jours</t>
        </is>
      </c>
      <c r="E17" s="31" t="n"/>
      <c r="G17" s="13">
        <f>IFERROR(INDEX(Projets_90_Jours!E$5:E$104,MATCH(SMALL(IF(Projets_90_Jours!P$5:P$104&lt;&gt;"Terminé",IF(Projets_90_Jours!J$5:J$104&lt;&gt;"",Projets_90_Jours!J$5:J$104)),8),Projets_90_Jours!J$5:J$104,0)),"")</f>
        <v/>
      </c>
      <c r="H17" s="33" t="n"/>
      <c r="I17" s="31" t="n"/>
      <c r="J17" s="19">
        <f>IFERROR(SMALL(IF(Projets_90_Jours!P$5:P$104&lt;&gt;"Terminé",IF(Projets_90_Jours!J$5:J$104&lt;&gt;"",Projets_90_Jours!J$5:J$104)),8),"")</f>
        <v/>
      </c>
      <c r="K17" s="31" t="n"/>
      <c r="L17" s="17">
        <f>IFERROR(INDEX(Projets_90_Jours!P$5:P$104,MATCH(SMALL(IF(Projets_90_Jours!P$5:P$104&lt;&gt;"Terminé",IF(Projets_90_Jours!J$5:J$104&lt;&gt;"",Projets_90_Jours!J$5:J$104)),8),Projets_90_Jours!J$5:J$104,0)),"")</f>
        <v/>
      </c>
      <c r="M17" s="31" t="n"/>
    </row>
    <row r="18" ht="22" customHeight="1">
      <c r="B18" s="41">
        <f>COUNTIF(Projets_90_Jours!P5:P104,"Bloqué")</f>
        <v/>
      </c>
      <c r="C18" s="31" t="n"/>
      <c r="D18" s="41">
        <f>COUNTIF(Projets_90_Jours!K5:K104,"&gt;90")</f>
        <v/>
      </c>
      <c r="E18" s="31" t="n"/>
      <c r="G18" s="14">
        <f>IFERROR(INDEX(Projets_90_Jours!E$5:E$104,MATCH(SMALL(IF(Projets_90_Jours!P$5:P$104&lt;&gt;"Terminé",IF(Projets_90_Jours!J$5:J$104&lt;&gt;"",Projets_90_Jours!J$5:J$104)),9),Projets_90_Jours!J$5:J$104,0)),"")</f>
        <v/>
      </c>
      <c r="H18" s="33" t="n"/>
      <c r="I18" s="31" t="n"/>
      <c r="J18" s="23">
        <f>IFERROR(SMALL(IF(Projets_90_Jours!P$5:P$104&lt;&gt;"Terminé",IF(Projets_90_Jours!J$5:J$104&lt;&gt;"",Projets_90_Jours!J$5:J$104)),9),"")</f>
        <v/>
      </c>
      <c r="K18" s="31" t="n"/>
      <c r="L18" s="18">
        <f>IFERROR(INDEX(Projets_90_Jours!P$5:P$104,MATCH(SMALL(IF(Projets_90_Jours!P$5:P$104&lt;&gt;"Terminé",IF(Projets_90_Jours!J$5:J$104&lt;&gt;"",Projets_90_Jours!J$5:J$104)),9),Projets_90_Jours!J$5:J$104,0)),"")</f>
        <v/>
      </c>
      <c r="M18" s="31" t="n"/>
    </row>
    <row r="19" ht="22" customHeight="1">
      <c r="G19" s="13">
        <f>IFERROR(INDEX(Projets_90_Jours!E$5:E$104,MATCH(SMALL(IF(Projets_90_Jours!P$5:P$104&lt;&gt;"Terminé",IF(Projets_90_Jours!J$5:J$104&lt;&gt;"",Projets_90_Jours!J$5:J$104)),10),Projets_90_Jours!J$5:J$104,0)),"")</f>
        <v/>
      </c>
      <c r="H19" s="33" t="n"/>
      <c r="I19" s="31" t="n"/>
      <c r="J19" s="19">
        <f>IFERROR(SMALL(IF(Projets_90_Jours!P$5:P$104&lt;&gt;"Terminé",IF(Projets_90_Jours!J$5:J$104&lt;&gt;"",Projets_90_Jours!J$5:J$104)),10),"")</f>
        <v/>
      </c>
      <c r="K19" s="31" t="n"/>
      <c r="L19" s="17">
        <f>IFERROR(INDEX(Projets_90_Jours!P$5:P$104,MATCH(SMALL(IF(Projets_90_Jours!P$5:P$104&lt;&gt;"Terminé",IF(Projets_90_Jours!J$5:J$104&lt;&gt;"",Projets_90_Jours!J$5:J$104)),10),Projets_90_Jours!J$5:J$104,0)),"")</f>
        <v/>
      </c>
      <c r="M19" s="31" t="n"/>
    </row>
    <row r="20" ht="10" customHeight="1"/>
    <row r="21" ht="24" customHeight="1">
      <c r="B21" s="4" t="inlineStr">
        <is>
          <t xml:space="preserve">  B.  RÉPARTITION PAR HORIZON</t>
        </is>
      </c>
      <c r="G21" s="4" t="inlineStr">
        <is>
          <t xml:space="preserve">  H.  RÉSUMÉ INITIATIVES &amp; PROJETS PAR AXE</t>
        </is>
      </c>
    </row>
    <row r="22" ht="6" customHeight="1"/>
    <row r="23" ht="22" customHeight="1">
      <c r="B23" s="42" t="inlineStr">
        <is>
          <t>Projets 0-2 ans</t>
        </is>
      </c>
      <c r="C23" s="33" t="n"/>
      <c r="D23" s="31" t="n"/>
      <c r="E23" s="43">
        <f>COUNTIF(Projets_90_Jours!G5:G104,"0-2 ans")</f>
        <v/>
      </c>
      <c r="G23" s="32" t="inlineStr">
        <is>
          <t>Axe Stratégique</t>
        </is>
      </c>
      <c r="H23" s="33" t="n"/>
      <c r="I23" s="31" t="n"/>
      <c r="J23" s="32" t="inlineStr">
        <is>
          <t>Initiatives</t>
        </is>
      </c>
      <c r="K23" s="31" t="n"/>
      <c r="L23" s="32" t="inlineStr">
        <is>
          <t>Projets</t>
        </is>
      </c>
      <c r="M23" s="31" t="n"/>
    </row>
    <row r="24" ht="22" customHeight="1">
      <c r="B24" s="42" t="inlineStr">
        <is>
          <t>Projets 3-5 ans</t>
        </is>
      </c>
      <c r="C24" s="33" t="n"/>
      <c r="D24" s="31" t="n"/>
      <c r="E24" s="43">
        <f>COUNTIF(Projets_90_Jours!G5:G104,"3-5 ans")</f>
        <v/>
      </c>
      <c r="G24" s="42" t="inlineStr">
        <is>
          <t>Exportation</t>
        </is>
      </c>
      <c r="H24" s="33" t="n"/>
      <c r="I24" s="31" t="n"/>
      <c r="J24" s="44">
        <f>COUNTIF(Initiatives!C5:C54,"Exportation")</f>
        <v/>
      </c>
      <c r="K24" s="31" t="n"/>
      <c r="L24" s="44">
        <f>COUNTIF(Projets_90_Jours!D5:D104,"Exportation")</f>
        <v/>
      </c>
      <c r="M24" s="31" t="n"/>
    </row>
    <row r="25" ht="22" customHeight="1">
      <c r="B25" s="42" t="inlineStr">
        <is>
          <t>Projets 5-10 ans</t>
        </is>
      </c>
      <c r="C25" s="33" t="n"/>
      <c r="D25" s="31" t="n"/>
      <c r="E25" s="43">
        <f>COUNTIF(Projets_90_Jours!G5:G104,"5-10 ans")</f>
        <v/>
      </c>
      <c r="G25" s="45" t="inlineStr">
        <is>
          <t>Opérations</t>
        </is>
      </c>
      <c r="H25" s="33" t="n"/>
      <c r="I25" s="31" t="n"/>
      <c r="J25" s="43">
        <f>COUNTIF(Initiatives!C5:C54,"Opérations")</f>
        <v/>
      </c>
      <c r="K25" s="31" t="n"/>
      <c r="L25" s="43">
        <f>COUNTIF(Projets_90_Jours!D5:D104,"Opérations")</f>
        <v/>
      </c>
      <c r="M25" s="31" t="n"/>
    </row>
    <row r="26" ht="22" customHeight="1">
      <c r="B26" s="46" t="inlineStr">
        <is>
          <t>TOTAL</t>
        </is>
      </c>
      <c r="C26" s="33" t="n"/>
      <c r="D26" s="31" t="n"/>
      <c r="E26" s="43">
        <f>E23+E24+E25</f>
        <v/>
      </c>
      <c r="G26" s="42" t="inlineStr">
        <is>
          <t>Ressources Humaines</t>
        </is>
      </c>
      <c r="H26" s="33" t="n"/>
      <c r="I26" s="31" t="n"/>
      <c r="J26" s="44">
        <f>COUNTIF(Initiatives!C5:C54,"Ressources Humaines")</f>
        <v/>
      </c>
      <c r="K26" s="31" t="n"/>
      <c r="L26" s="44">
        <f>COUNTIF(Projets_90_Jours!D5:D104,"Ressources Humaines")</f>
        <v/>
      </c>
      <c r="M26" s="31" t="n"/>
    </row>
    <row r="27" ht="22" customHeight="1">
      <c r="G27" s="45" t="inlineStr">
        <is>
          <t>Technologie &amp; Systèmes</t>
        </is>
      </c>
      <c r="H27" s="33" t="n"/>
      <c r="I27" s="31" t="n"/>
      <c r="J27" s="43">
        <f>COUNTIF(Initiatives!C5:C54,"Technologie &amp; Systèmes")</f>
        <v/>
      </c>
      <c r="K27" s="31" t="n"/>
      <c r="L27" s="43">
        <f>COUNTIF(Projets_90_Jours!D5:D104,"Technologie &amp; Systèmes")</f>
        <v/>
      </c>
      <c r="M27" s="31" t="n"/>
    </row>
    <row r="28" ht="22" customHeight="1">
      <c r="B28" s="4" t="inlineStr">
        <is>
          <t xml:space="preserve">  C.  RÉPARTITION PAR PRIORITÉ</t>
        </is>
      </c>
      <c r="G28" s="42" t="inlineStr">
        <is>
          <t>Finance</t>
        </is>
      </c>
      <c r="H28" s="33" t="n"/>
      <c r="I28" s="31" t="n"/>
      <c r="J28" s="44">
        <f>COUNTIF(Initiatives!C5:C54,"Finance")</f>
        <v/>
      </c>
      <c r="K28" s="31" t="n"/>
      <c r="L28" s="44">
        <f>COUNTIF(Projets_90_Jours!D5:D104,"Finance")</f>
        <v/>
      </c>
      <c r="M28" s="31" t="n"/>
    </row>
    <row r="29" ht="22" customHeight="1">
      <c r="G29" s="45" t="inlineStr">
        <is>
          <t>Vente &amp; Développement</t>
        </is>
      </c>
      <c r="H29" s="33" t="n"/>
      <c r="I29" s="31" t="n"/>
      <c r="J29" s="43">
        <f>COUNTIF(Initiatives!C5:C54,"Vente &amp; Développement")</f>
        <v/>
      </c>
      <c r="K29" s="31" t="n"/>
      <c r="L29" s="43">
        <f>COUNTIF(Projets_90_Jours!D5:D104,"Vente &amp; Développement")</f>
        <v/>
      </c>
      <c r="M29" s="31" t="n"/>
    </row>
    <row r="30" ht="10" customHeight="1">
      <c r="B30" s="47" t="inlineStr">
        <is>
          <t>Priorité Haute</t>
        </is>
      </c>
      <c r="C30" s="33" t="n"/>
      <c r="D30" s="31" t="n"/>
      <c r="E30" s="48">
        <f>COUNTIF(Projets_90_Jours!O5:O104,"Haute")</f>
        <v/>
      </c>
    </row>
    <row r="31" ht="22" customHeight="1">
      <c r="B31" s="49" t="inlineStr">
        <is>
          <t>Priorité Moyenne</t>
        </is>
      </c>
      <c r="C31" s="33" t="n"/>
      <c r="D31" s="31" t="n"/>
      <c r="E31" s="50">
        <f>COUNTIF(Projets_90_Jours!O5:O104,"Moyenne")</f>
        <v/>
      </c>
    </row>
    <row r="32" ht="22" customHeight="1">
      <c r="B32" s="42" t="inlineStr">
        <is>
          <t>Priorité Basse</t>
        </is>
      </c>
      <c r="C32" s="33" t="n"/>
      <c r="D32" s="31" t="n"/>
      <c r="E32" s="51">
        <f>COUNTIF(Projets_90_Jours!O5:O104,"Basse")</f>
        <v/>
      </c>
    </row>
    <row r="33" ht="10" customHeight="1"/>
    <row r="34" ht="24" customHeight="1">
      <c r="B34" s="4" t="inlineStr">
        <is>
          <t xml:space="preserve">  D.  RÉPARTITION PAR STATUT</t>
        </is>
      </c>
    </row>
    <row r="35" ht="6" customHeight="1"/>
    <row r="36" ht="22" customHeight="1">
      <c r="B36" s="52" t="inlineStr">
        <is>
          <t>Non démarrés</t>
        </is>
      </c>
      <c r="C36" s="33" t="n"/>
      <c r="D36" s="31" t="n"/>
      <c r="E36" s="51">
        <f>COUNTIF(Projets_90_Jours!P5:P104,"Non démarré")</f>
        <v/>
      </c>
    </row>
    <row r="37" ht="22" customHeight="1">
      <c r="B37" s="46" t="inlineStr">
        <is>
          <t>En cours</t>
        </is>
      </c>
      <c r="C37" s="33" t="n"/>
      <c r="D37" s="31" t="n"/>
      <c r="E37" s="43">
        <f>COUNTIF(Projets_90_Jours!P5:P104,"En cours")</f>
        <v/>
      </c>
    </row>
    <row r="38" ht="22" customHeight="1">
      <c r="B38" s="49" t="inlineStr">
        <is>
          <t>À risque</t>
        </is>
      </c>
      <c r="C38" s="33" t="n"/>
      <c r="D38" s="31" t="n"/>
      <c r="E38" s="50">
        <f>COUNTIF(Projets_90_Jours!P5:P104,"À risque")</f>
        <v/>
      </c>
    </row>
    <row r="39" ht="22" customHeight="1">
      <c r="B39" s="47" t="inlineStr">
        <is>
          <t>Bloqués</t>
        </is>
      </c>
      <c r="C39" s="33" t="n"/>
      <c r="D39" s="31" t="n"/>
      <c r="E39" s="48">
        <f>COUNTIF(Projets_90_Jours!P5:P104,"Bloqué")</f>
        <v/>
      </c>
    </row>
    <row r="40" ht="22" customHeight="1">
      <c r="B40" s="53" t="inlineStr">
        <is>
          <t>Terminés</t>
        </is>
      </c>
      <c r="C40" s="33" t="n"/>
      <c r="D40" s="31" t="n"/>
      <c r="E40" s="54">
        <f>COUNTIF(Projets_90_Jours!P5:P104,"Terminé")</f>
        <v/>
      </c>
    </row>
    <row r="41" ht="10" customHeight="1"/>
    <row r="42" ht="24" customHeight="1">
      <c r="B42" s="4" t="inlineStr">
        <is>
          <t xml:space="preserve">  E.  PROJETS PAR AXE STRATÉGIQUE</t>
        </is>
      </c>
    </row>
    <row r="43" ht="6" customHeight="1"/>
    <row r="44" ht="22" customHeight="1">
      <c r="B44" s="42" t="inlineStr">
        <is>
          <t>Exportation</t>
        </is>
      </c>
      <c r="C44" s="33" t="n"/>
      <c r="D44" s="31" t="n"/>
      <c r="E44" s="55">
        <f>COUNTIF(Projets_90_Jours!D5:D104,"Exportation")</f>
        <v/>
      </c>
    </row>
    <row r="45" ht="22" customHeight="1">
      <c r="B45" s="42" t="inlineStr">
        <is>
          <t>Opérations</t>
        </is>
      </c>
      <c r="C45" s="33" t="n"/>
      <c r="D45" s="31" t="n"/>
      <c r="E45" s="55">
        <f>COUNTIF(Projets_90_Jours!D5:D104,"Opérations")</f>
        <v/>
      </c>
    </row>
    <row r="46" ht="22" customHeight="1">
      <c r="B46" s="42" t="inlineStr">
        <is>
          <t>Ressources Humaines</t>
        </is>
      </c>
      <c r="C46" s="33" t="n"/>
      <c r="D46" s="31" t="n"/>
      <c r="E46" s="55">
        <f>COUNTIF(Projets_90_Jours!D5:D104,"Ressources Humaines")</f>
        <v/>
      </c>
    </row>
    <row r="47" ht="22" customHeight="1">
      <c r="B47" s="42" t="inlineStr">
        <is>
          <t>Technologie &amp; Systèmes</t>
        </is>
      </c>
      <c r="C47" s="33" t="n"/>
      <c r="D47" s="31" t="n"/>
      <c r="E47" s="55">
        <f>COUNTIF(Projets_90_Jours!D5:D104,"Technologie &amp; Systèmes")</f>
        <v/>
      </c>
    </row>
    <row r="48" ht="22" customHeight="1">
      <c r="B48" s="42" t="inlineStr">
        <is>
          <t>Finance</t>
        </is>
      </c>
      <c r="C48" s="33" t="n"/>
      <c r="D48" s="31" t="n"/>
      <c r="E48" s="55">
        <f>COUNTIF(Projets_90_Jours!D5:D104,"Finance")</f>
        <v/>
      </c>
    </row>
    <row r="49" ht="22" customHeight="1">
      <c r="B49" s="42" t="inlineStr">
        <is>
          <t>Vente &amp; Développement</t>
        </is>
      </c>
      <c r="C49" s="33" t="n"/>
      <c r="D49" s="31" t="n"/>
      <c r="E49" s="55">
        <f>COUNTIF(Projets_90_Jours!D5:D104,"Vente &amp; Développement")</f>
        <v/>
      </c>
    </row>
    <row r="50" ht="10" customHeight="1"/>
    <row r="51" ht="24" customHeight="1">
      <c r="B51" s="4" t="inlineStr">
        <is>
          <t xml:space="preserve">  F.  ALERTE : PROJETS &gt; 90 JOURS</t>
        </is>
      </c>
    </row>
    <row r="52" ht="6" customHeight="1"/>
    <row r="53" ht="28" customHeight="1">
      <c r="B53" s="47" t="inlineStr">
        <is>
          <t>Projets dépassant 90 jours :</t>
        </is>
      </c>
      <c r="C53" s="33" t="n"/>
      <c r="D53" s="31" t="n"/>
      <c r="E53" s="56">
        <f>COUNTIF(Projets_90_Jours!K5:K104,"&gt;90")</f>
        <v/>
      </c>
    </row>
    <row r="55" ht="16" customHeight="1">
      <c r="B55" s="9" t="inlineStr">
        <is>
          <t>© Camions Dubois — Tableau de bord confidentiel — Usage direction uniquement</t>
        </is>
      </c>
    </row>
  </sheetData>
  <mergeCells count="102">
    <mergeCell ref="L17:M17"/>
    <mergeCell ref="B2:M2"/>
    <mergeCell ref="G13:I13"/>
    <mergeCell ref="J10:K10"/>
    <mergeCell ref="J19:K19"/>
    <mergeCell ref="B44:D44"/>
    <mergeCell ref="B53:D53"/>
    <mergeCell ref="L19:M19"/>
    <mergeCell ref="J28:K28"/>
    <mergeCell ref="L28:M28"/>
    <mergeCell ref="G15:I15"/>
    <mergeCell ref="B12:C12"/>
    <mergeCell ref="G24:I24"/>
    <mergeCell ref="B37:D37"/>
    <mergeCell ref="L12:M12"/>
    <mergeCell ref="B14:C14"/>
    <mergeCell ref="B30:D30"/>
    <mergeCell ref="G26:I26"/>
    <mergeCell ref="L14:M14"/>
    <mergeCell ref="G16:I16"/>
    <mergeCell ref="L29:M29"/>
    <mergeCell ref="B21:E21"/>
    <mergeCell ref="J23:K23"/>
    <mergeCell ref="G28:I28"/>
    <mergeCell ref="L16:M16"/>
    <mergeCell ref="B51:E51"/>
    <mergeCell ref="B18:C18"/>
    <mergeCell ref="G14:I14"/>
    <mergeCell ref="B11:C11"/>
    <mergeCell ref="G9:M9"/>
    <mergeCell ref="D11:E11"/>
    <mergeCell ref="J27:K27"/>
    <mergeCell ref="B36:D36"/>
    <mergeCell ref="J11:K11"/>
    <mergeCell ref="B45:D45"/>
    <mergeCell ref="D9:E9"/>
    <mergeCell ref="B4:M4"/>
    <mergeCell ref="B47:D47"/>
    <mergeCell ref="B15:C15"/>
    <mergeCell ref="J12:K12"/>
    <mergeCell ref="B31:D31"/>
    <mergeCell ref="D15:E15"/>
    <mergeCell ref="B46:D46"/>
    <mergeCell ref="G27:I27"/>
    <mergeCell ref="G8:I8"/>
    <mergeCell ref="G17:I17"/>
    <mergeCell ref="B39:D39"/>
    <mergeCell ref="B48:D48"/>
    <mergeCell ref="G10:I10"/>
    <mergeCell ref="J29:K29"/>
    <mergeCell ref="B23:D23"/>
    <mergeCell ref="G19:I19"/>
    <mergeCell ref="B6:E6"/>
    <mergeCell ref="J24:K24"/>
    <mergeCell ref="B49:D49"/>
    <mergeCell ref="L24:M24"/>
    <mergeCell ref="L18:M18"/>
    <mergeCell ref="B17:C17"/>
    <mergeCell ref="L8:M8"/>
    <mergeCell ref="D17:E17"/>
    <mergeCell ref="G29:I29"/>
    <mergeCell ref="J26:K26"/>
    <mergeCell ref="L26:M26"/>
    <mergeCell ref="J16:K16"/>
    <mergeCell ref="L10:M10"/>
    <mergeCell ref="J25:K25"/>
    <mergeCell ref="L25:M25"/>
    <mergeCell ref="G12:I12"/>
    <mergeCell ref="B9:C9"/>
    <mergeCell ref="B25:D25"/>
    <mergeCell ref="B42:E42"/>
    <mergeCell ref="D12:E12"/>
    <mergeCell ref="G6:M6"/>
    <mergeCell ref="G23:I23"/>
    <mergeCell ref="D14:E14"/>
    <mergeCell ref="L11:M11"/>
    <mergeCell ref="B34:E34"/>
    <mergeCell ref="B28:E28"/>
    <mergeCell ref="J14:K14"/>
    <mergeCell ref="G18:I18"/>
    <mergeCell ref="J13:K13"/>
    <mergeCell ref="B38:D38"/>
    <mergeCell ref="L13:M13"/>
    <mergeCell ref="J15:K15"/>
    <mergeCell ref="B40:D40"/>
    <mergeCell ref="L15:M15"/>
    <mergeCell ref="G21:M21"/>
    <mergeCell ref="L23:M23"/>
    <mergeCell ref="B8:C8"/>
    <mergeCell ref="B24:D24"/>
    <mergeCell ref="G25:I25"/>
    <mergeCell ref="B55:M55"/>
    <mergeCell ref="B32:D32"/>
    <mergeCell ref="B26:D26"/>
    <mergeCell ref="D18:E18"/>
    <mergeCell ref="G11:I11"/>
    <mergeCell ref="D8:E8"/>
    <mergeCell ref="B3:M3"/>
    <mergeCell ref="J18:K18"/>
    <mergeCell ref="L27:M27"/>
    <mergeCell ref="J8:K8"/>
    <mergeCell ref="J17:K17"/>
  </mergeCells>
  <conditionalFormatting sqref="L10:L19">
    <cfRule type="cellIs" priority="1" operator="equal" dxfId="4">
      <formula>"En cours"</formula>
    </cfRule>
    <cfRule type="cellIs" priority="2" operator="equal" dxfId="1">
      <formula>"A risque"</formula>
    </cfRule>
    <cfRule type="cellIs" priority="3" operator="equal" dxfId="0">
      <formula>"Bloque"</formula>
    </cfRule>
    <cfRule type="cellIs" priority="4" operator="equal" dxfId="5">
      <formula>"Non demarre"</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0" customWidth="1" min="1" max="1"/>
    <col width="20" customWidth="1" min="2" max="2"/>
    <col width="20" customWidth="1" min="3" max="3"/>
    <col width="22" customWidth="1" min="4" max="4"/>
    <col width="22" customWidth="1" min="5" max="5"/>
    <col width="16" customWidth="1" min="6" max="6"/>
    <col width="18" customWidth="1" min="7" max="7"/>
  </cols>
  <sheetData>
    <row r="1" ht="24" customHeight="1">
      <c r="A1" s="12" t="inlineStr">
        <is>
          <t>Horizons</t>
        </is>
      </c>
      <c r="B1" s="12" t="inlineStr">
        <is>
          <t>Priorités</t>
        </is>
      </c>
      <c r="C1" s="12" t="inlineStr">
        <is>
          <t>Statuts_Initiatives</t>
        </is>
      </c>
      <c r="D1" s="12" t="inlineStr">
        <is>
          <t>Statuts_Projets</t>
        </is>
      </c>
      <c r="E1" s="12" t="inlineStr">
        <is>
          <t>Personnes</t>
        </is>
      </c>
      <c r="F1" s="12" t="inlineStr">
        <is>
          <t>Trimestres</t>
        </is>
      </c>
      <c r="G1" s="12" t="inlineStr">
        <is>
          <t>Statuts_Projets_Court</t>
        </is>
      </c>
    </row>
    <row r="2" ht="20" customHeight="1">
      <c r="A2" s="57" t="inlineStr">
        <is>
          <t>0-2 ans</t>
        </is>
      </c>
      <c r="B2" s="57" t="inlineStr">
        <is>
          <t>Haute</t>
        </is>
      </c>
      <c r="C2" s="57" t="inlineStr">
        <is>
          <t>Non démarrée</t>
        </is>
      </c>
      <c r="D2" s="57" t="inlineStr">
        <is>
          <t>Non démarré</t>
        </is>
      </c>
      <c r="E2" s="57" t="inlineStr">
        <is>
          <t>Jason Dubois</t>
        </is>
      </c>
      <c r="F2" s="57" t="inlineStr">
        <is>
          <t>T1</t>
        </is>
      </c>
      <c r="G2" s="57" t="inlineStr">
        <is>
          <t>Non démarré</t>
        </is>
      </c>
    </row>
    <row r="3" ht="20" customHeight="1">
      <c r="A3" s="57" t="inlineStr">
        <is>
          <t>3-5 ans</t>
        </is>
      </c>
      <c r="B3" s="57" t="inlineStr">
        <is>
          <t>Moyenne</t>
        </is>
      </c>
      <c r="C3" s="57" t="inlineStr">
        <is>
          <t>En planification</t>
        </is>
      </c>
      <c r="D3" s="57" t="inlineStr">
        <is>
          <t>En cours</t>
        </is>
      </c>
      <c r="E3" s="57" t="inlineStr">
        <is>
          <t>Régis Dubois</t>
        </is>
      </c>
      <c r="F3" s="57" t="inlineStr">
        <is>
          <t>T2</t>
        </is>
      </c>
      <c r="G3" s="57" t="inlineStr">
        <is>
          <t>En cours</t>
        </is>
      </c>
    </row>
    <row r="4" ht="20" customHeight="1">
      <c r="A4" s="57" t="inlineStr">
        <is>
          <t>5-10 ans</t>
        </is>
      </c>
      <c r="B4" s="57" t="inlineStr">
        <is>
          <t>Basse</t>
        </is>
      </c>
      <c r="C4" s="57" t="inlineStr">
        <is>
          <t>En cours</t>
        </is>
      </c>
      <c r="D4" s="57" t="inlineStr">
        <is>
          <t>À risque</t>
        </is>
      </c>
      <c r="E4" s="57" t="inlineStr">
        <is>
          <t>Michael Dubois</t>
        </is>
      </c>
      <c r="F4" s="57" t="inlineStr">
        <is>
          <t>T3</t>
        </is>
      </c>
      <c r="G4" s="57" t="inlineStr">
        <is>
          <t>À risque</t>
        </is>
      </c>
    </row>
    <row r="5" ht="20" customHeight="1">
      <c r="C5" s="57" t="inlineStr">
        <is>
          <t>En pause</t>
        </is>
      </c>
      <c r="D5" s="57" t="inlineStr">
        <is>
          <t>Bloqué</t>
        </is>
      </c>
      <c r="E5" s="57" t="inlineStr">
        <is>
          <t>Joël Cartier</t>
        </is>
      </c>
      <c r="F5" s="57" t="inlineStr">
        <is>
          <t>T4</t>
        </is>
      </c>
      <c r="G5" s="57" t="inlineStr">
        <is>
          <t>Bloqué</t>
        </is>
      </c>
    </row>
    <row r="6" ht="20" customHeight="1">
      <c r="C6" s="57" t="inlineStr">
        <is>
          <t>Terminée</t>
        </is>
      </c>
      <c r="D6" s="57" t="inlineStr">
        <is>
          <t>Terminé</t>
        </is>
      </c>
      <c r="E6" s="57" t="inlineStr">
        <is>
          <t>Consultant</t>
        </is>
      </c>
      <c r="G6" s="57" t="inlineStr">
        <is>
          <t>Terminé</t>
        </is>
      </c>
    </row>
    <row r="7" ht="20" customHeight="1">
      <c r="E7" s="57" t="inlineStr">
        <is>
          <t>À définir</t>
        </is>
      </c>
    </row>
    <row r="8" ht="20" customHeight="1">
      <c r="E8" s="57" t="inlineStr">
        <is>
          <t>Direction</t>
        </is>
      </c>
    </row>
    <row r="9" ht="20" customHeight="1">
      <c r="E9" s="57" t="inlineStr">
        <is>
          <t>RH</t>
        </is>
      </c>
    </row>
    <row r="12" ht="20" customHeight="1">
      <c r="A12" s="58" t="inlineStr">
        <is>
          <t>⚠  Ne pas modifier la structure de cette feuille (lignes/colonnes).</t>
        </is>
      </c>
    </row>
    <row r="13" ht="20" customHeight="1">
      <c r="A13" s="9" t="inlineStr">
        <is>
          <t>Pour ajouter une personne, ajouter une ligne dans la colonne E.</t>
        </is>
      </c>
    </row>
  </sheetData>
  <mergeCells count="2">
    <mergeCell ref="A13:G13"/>
    <mergeCell ref="A12:G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2026-04-21T16:01:49Z</dcterms:created>
  <dcterms:modified xmlns:dcterms="http://purl.org/dc/terms/" xmlns:xsi="http://www.w3.org/2001/XMLSchema-instance" xsi:type="dcterms:W3CDTF">2026-04-21T16:01:49Z</dcterms:modified>
</cp:coreProperties>
</file>